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hwi\Downloads\BEER Cup\R1\"/>
    </mc:Choice>
  </mc:AlternateContent>
  <xr:revisionPtr revIDLastSave="0" documentId="13_ncr:1_{0A9FBD52-FBD7-482F-B4AD-3334247FAEC1}" xr6:coauthVersionLast="47" xr6:coauthVersionMax="47" xr10:uidLastSave="{00000000-0000-0000-0000-000000000000}"/>
  <bookViews>
    <workbookView xWindow="-120" yWindow="-120" windowWidth="19440" windowHeight="10320" firstSheet="2" activeTab="2" xr2:uid="{E9164C05-3662-478C-AFDD-5E67810AF5B5}"/>
  </bookViews>
  <sheets>
    <sheet name="Map of Destruction" sheetId="2" r:id="rId1"/>
    <sheet name="Data Sheet" sheetId="1" r:id="rId2"/>
    <sheet name="Sheet1" sheetId="3" r:id="rId3"/>
  </sheets>
  <definedNames>
    <definedName name="_xlcn.WorksheetConnection_Sheet1A1F161" hidden="1">'Data Sheet'!$A$1:$D$16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Sheet1!$A$1:$F$16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" i="3" l="1"/>
  <c r="Q5" i="3"/>
  <c r="Q3" i="3"/>
  <c r="P4" i="3"/>
  <c r="P5" i="3"/>
  <c r="P3" i="3"/>
  <c r="H3" i="3"/>
  <c r="F4" i="3"/>
  <c r="G4" i="3" s="1"/>
  <c r="F5" i="3"/>
  <c r="G5" i="3" s="1"/>
  <c r="F3" i="3"/>
  <c r="G3" i="3" s="1"/>
  <c r="C6" i="3"/>
  <c r="N37" i="2"/>
  <c r="G48" i="2"/>
  <c r="F48" i="2"/>
  <c r="E48" i="2"/>
  <c r="F49" i="2"/>
  <c r="G49" i="2"/>
  <c r="E49" i="2"/>
  <c r="AI37" i="2" l="1"/>
  <c r="K59" i="2"/>
  <c r="K38" i="2"/>
  <c r="K37" i="2"/>
  <c r="K36" i="2"/>
  <c r="K35" i="2"/>
  <c r="K34" i="2"/>
  <c r="K39" i="2" l="1"/>
  <c r="AI42" i="2"/>
  <c r="AI43" i="2"/>
  <c r="AI44" i="2"/>
  <c r="AI45" i="2"/>
  <c r="AI46" i="2"/>
  <c r="AI47" i="2"/>
  <c r="AI48" i="2"/>
  <c r="AI49" i="2"/>
  <c r="AG8" i="2" s="1"/>
  <c r="AI50" i="2"/>
  <c r="AI51" i="2"/>
  <c r="AI52" i="2"/>
  <c r="AI53" i="2"/>
  <c r="AI54" i="2"/>
  <c r="AI55" i="2"/>
  <c r="AI56" i="2"/>
  <c r="AI57" i="2"/>
  <c r="AG4" i="2" s="1"/>
  <c r="AI59" i="2"/>
  <c r="AI60" i="2"/>
  <c r="AI61" i="2"/>
  <c r="AI62" i="2"/>
  <c r="AI63" i="2"/>
  <c r="AI64" i="2"/>
  <c r="AI65" i="2"/>
  <c r="AI66" i="2"/>
  <c r="AG6" i="2"/>
  <c r="AI12" i="2"/>
  <c r="I58" i="2" s="1"/>
  <c r="AI41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E7" i="2" s="1"/>
  <c r="AI32" i="2"/>
  <c r="H58" i="2" s="1"/>
  <c r="AI33" i="2"/>
  <c r="AI34" i="2"/>
  <c r="AI35" i="2"/>
  <c r="AI36" i="2"/>
  <c r="AG14" i="2"/>
  <c r="AG13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12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9" i="2"/>
  <c r="AG60" i="2"/>
  <c r="AG61" i="2"/>
  <c r="AG62" i="2"/>
  <c r="AG63" i="2"/>
  <c r="AG64" i="2"/>
  <c r="AG65" i="2"/>
  <c r="AG66" i="2"/>
  <c r="AG41" i="2"/>
  <c r="AF66" i="2"/>
  <c r="AF65" i="2"/>
  <c r="AF64" i="2"/>
  <c r="AF63" i="2"/>
  <c r="AF62" i="2"/>
  <c r="AF61" i="2"/>
  <c r="AF60" i="2"/>
  <c r="AF59" i="2"/>
  <c r="AF57" i="2"/>
  <c r="AF56" i="2"/>
  <c r="AF55" i="2"/>
  <c r="AF54" i="2"/>
  <c r="AF53" i="2"/>
  <c r="AF52" i="2"/>
  <c r="AF51" i="2"/>
  <c r="AF50" i="2"/>
  <c r="AF49" i="2"/>
  <c r="AF48" i="2"/>
  <c r="AF47" i="2"/>
  <c r="AF46" i="2"/>
  <c r="AF45" i="2"/>
  <c r="AF44" i="2"/>
  <c r="AF43" i="2"/>
  <c r="AF42" i="2"/>
  <c r="V42" i="2"/>
  <c r="V43" i="2" s="1"/>
  <c r="V44" i="2" s="1"/>
  <c r="V45" i="2" s="1"/>
  <c r="V46" i="2" s="1"/>
  <c r="V47" i="2" s="1"/>
  <c r="V48" i="2" s="1"/>
  <c r="V49" i="2" s="1"/>
  <c r="V50" i="2" s="1"/>
  <c r="V51" i="2" s="1"/>
  <c r="V52" i="2" s="1"/>
  <c r="V53" i="2" s="1"/>
  <c r="V54" i="2" s="1"/>
  <c r="V55" i="2" s="1"/>
  <c r="V56" i="2" s="1"/>
  <c r="V57" i="2" s="1"/>
  <c r="V59" i="2" s="1"/>
  <c r="V60" i="2" s="1"/>
  <c r="V61" i="2" s="1"/>
  <c r="V62" i="2" s="1"/>
  <c r="V63" i="2" s="1"/>
  <c r="V64" i="2" s="1"/>
  <c r="V65" i="2" s="1"/>
  <c r="V66" i="2" s="1"/>
  <c r="AF41" i="2"/>
  <c r="AG5" i="2" l="1"/>
  <c r="AE8" i="2"/>
  <c r="J58" i="2"/>
  <c r="K58" i="2"/>
  <c r="AE5" i="2"/>
  <c r="AG7" i="2"/>
  <c r="AE4" i="2"/>
  <c r="G58" i="2"/>
  <c r="AE6" i="2"/>
  <c r="AI67" i="2"/>
  <c r="AJ49" i="2"/>
  <c r="AJ62" i="2"/>
  <c r="AJ61" i="2"/>
  <c r="AJ48" i="2"/>
  <c r="AJ60" i="2"/>
  <c r="AJ47" i="2"/>
  <c r="AJ59" i="2"/>
  <c r="AJ46" i="2"/>
  <c r="AJ45" i="2"/>
  <c r="AJ57" i="2"/>
  <c r="AJ44" i="2"/>
  <c r="AJ56" i="2"/>
  <c r="AJ55" i="2"/>
  <c r="AJ41" i="2"/>
  <c r="AJ54" i="2"/>
  <c r="AJ42" i="2"/>
  <c r="AJ66" i="2"/>
  <c r="AJ53" i="2"/>
  <c r="AJ65" i="2"/>
  <c r="AJ52" i="2"/>
  <c r="AJ64" i="2"/>
  <c r="AJ51" i="2"/>
  <c r="AJ63" i="2"/>
  <c r="AJ50" i="2"/>
  <c r="AJ43" i="2"/>
  <c r="AF28" i="2"/>
  <c r="AJ28" i="2" s="1"/>
  <c r="AF29" i="2"/>
  <c r="AJ29" i="2" s="1"/>
  <c r="AF30" i="2"/>
  <c r="AJ30" i="2" s="1"/>
  <c r="AF31" i="2"/>
  <c r="AJ31" i="2" s="1"/>
  <c r="AF32" i="2"/>
  <c r="AJ32" i="2" s="1"/>
  <c r="AF33" i="2"/>
  <c r="AJ33" i="2" s="1"/>
  <c r="AF34" i="2"/>
  <c r="AJ34" i="2" s="1"/>
  <c r="AF35" i="2"/>
  <c r="AJ35" i="2" s="1"/>
  <c r="AF36" i="2"/>
  <c r="AJ36" i="2" s="1"/>
  <c r="V13" i="2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AF13" i="2"/>
  <c r="AJ13" i="2" s="1"/>
  <c r="AF14" i="2"/>
  <c r="AJ14" i="2" s="1"/>
  <c r="AF15" i="2"/>
  <c r="AJ15" i="2" s="1"/>
  <c r="AF16" i="2"/>
  <c r="AJ16" i="2" s="1"/>
  <c r="AF17" i="2"/>
  <c r="AJ17" i="2" s="1"/>
  <c r="AF18" i="2"/>
  <c r="AJ18" i="2" s="1"/>
  <c r="AF19" i="2"/>
  <c r="AJ19" i="2" s="1"/>
  <c r="AF20" i="2"/>
  <c r="AJ20" i="2" s="1"/>
  <c r="AF21" i="2"/>
  <c r="AJ21" i="2" s="1"/>
  <c r="AF22" i="2"/>
  <c r="AJ22" i="2" s="1"/>
  <c r="AF23" i="2"/>
  <c r="AJ23" i="2" s="1"/>
  <c r="AF24" i="2"/>
  <c r="AJ24" i="2" s="1"/>
  <c r="AF25" i="2"/>
  <c r="AJ25" i="2" s="1"/>
  <c r="AF26" i="2"/>
  <c r="AJ26" i="2" s="1"/>
  <c r="AF27" i="2"/>
  <c r="AJ27" i="2" s="1"/>
  <c r="AF12" i="2"/>
  <c r="AJ12" i="2" s="1"/>
  <c r="AJ37" i="2" l="1"/>
  <c r="AJ67" i="2"/>
  <c r="N6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acer</author>
  </authors>
  <commentList>
    <comment ref="G6" authorId="0" shapeId="0" xr:uid="{4595F741-9B98-4C37-9776-A4418D24D92D}">
      <text>
        <r>
          <rPr>
            <b/>
            <sz val="9"/>
            <color indexed="81"/>
            <rFont val="Tahoma"/>
            <family val="2"/>
          </rPr>
          <t>Washington
Latitude: 175
Longitude: 75
Capacity: 200</t>
        </r>
      </text>
    </comment>
    <comment ref="J7" authorId="0" shapeId="0" xr:uid="{4EB57BB9-CC82-4554-8D10-79BD37B3F55B}">
      <text>
        <r>
          <rPr>
            <b/>
            <sz val="9"/>
            <color indexed="81"/>
            <rFont val="Tahoma"/>
            <family val="2"/>
          </rPr>
          <t xml:space="preserve">NorthDakota
Latitude: 85
Longitude: 60
Capacity: 150
Batch Size: 30
</t>
        </r>
      </text>
    </comment>
    <comment ref="I8" authorId="0" shapeId="0" xr:uid="{51DD1CCE-10D8-4217-ABA3-750AA919FE9E}">
      <text>
        <r>
          <rPr>
            <b/>
            <sz val="9"/>
            <color indexed="81"/>
            <rFont val="Tahoma"/>
            <family val="2"/>
          </rPr>
          <t>Montana
Latitude: 50
Longitude: 140
Capacity: 1000
Batch Size: 50</t>
        </r>
      </text>
    </comment>
    <comment ref="M8" authorId="0" shapeId="0" xr:uid="{48F214B2-1208-4658-A10A-A8BE6C6D9D36}">
      <text>
        <r>
          <rPr>
            <b/>
            <sz val="9"/>
            <color indexed="81"/>
            <rFont val="Tahoma"/>
            <family val="2"/>
          </rPr>
          <t>Wisconsin
Latitude: 65
Longitude: 175
Capacity: 180</t>
        </r>
      </text>
    </comment>
    <comment ref="N9" authorId="0" shapeId="0" xr:uid="{FB5502AE-DD28-4D4A-AF37-7A1FE1E06EC5}">
      <text>
        <r>
          <rPr>
            <b/>
            <sz val="9"/>
            <color indexed="81"/>
            <rFont val="Tahoma"/>
            <family val="2"/>
          </rPr>
          <t>Michigan
Latitude: 70
Longitude: 180
Capacity: 2000
Batch Size: 100</t>
        </r>
      </text>
    </comment>
    <comment ref="K12" authorId="0" shapeId="0" xr:uid="{DC88B202-E940-4C59-9448-F888523D8C89}">
      <text>
        <r>
          <rPr>
            <b/>
            <sz val="9"/>
            <color indexed="81"/>
            <rFont val="Tahoma"/>
            <family val="2"/>
          </rPr>
          <t>Iowa
Latitude: 95
Longitude: 200
Capacity: 150</t>
        </r>
      </text>
    </comment>
    <comment ref="H14" authorId="0" shapeId="0" xr:uid="{CB507250-783F-40DC-B7CD-712FF6FEFEA6}">
      <text>
        <r>
          <rPr>
            <b/>
            <sz val="9"/>
            <color indexed="81"/>
            <rFont val="Tahoma"/>
            <family val="2"/>
          </rPr>
          <t>Nevada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Latitude: 45
Longitude: 120
Capacity: 100
Batch Size: 25</t>
        </r>
      </text>
    </comment>
    <comment ref="J15" authorId="0" shapeId="0" xr:uid="{399BE3F4-3045-4F26-802D-D1EAF909D08D}">
      <text>
        <r>
          <rPr>
            <b/>
            <sz val="9"/>
            <color indexed="81"/>
            <rFont val="Tahoma"/>
            <family val="2"/>
          </rPr>
          <t>Colorado
Latitude: 110
Longitude: 60
Capacity: 1500
Batch Size: 75</t>
        </r>
      </text>
    </comment>
    <comment ref="M15" authorId="0" shapeId="0" xr:uid="{0950B10F-27A0-4E19-811B-6D8212152CF3}">
      <text>
        <r>
          <rPr>
            <b/>
            <sz val="9"/>
            <color indexed="81"/>
            <rFont val="Tahoma"/>
            <family val="2"/>
          </rPr>
          <t>Illinois
Latitude: 90
Longitude: 135
Capacity: 750
Batch Size: 50</t>
        </r>
      </text>
    </comment>
    <comment ref="K16" authorId="0" shapeId="0" xr:uid="{FB2618FE-F288-4BF3-AFC5-341A3DB19CE3}">
      <text>
        <r>
          <rPr>
            <b/>
            <sz val="9"/>
            <color indexed="81"/>
            <rFont val="Tahoma"/>
            <family val="2"/>
          </rPr>
          <t>Kansas
Latitude: 150
Longitude: 100
Capacity: 175</t>
        </r>
      </text>
    </comment>
    <comment ref="N17" authorId="0" shapeId="0" xr:uid="{C2A93EAC-5E00-4221-B5DD-F1925968BB63}">
      <text>
        <r>
          <rPr>
            <b/>
            <sz val="9"/>
            <color indexed="81"/>
            <rFont val="Tahoma"/>
            <family val="2"/>
          </rPr>
          <t>Kentucky
Latitude: 180
Longitude: 50
Capacity: 130</t>
        </r>
      </text>
    </comment>
    <comment ref="G20" authorId="0" shapeId="0" xr:uid="{B087F404-E4C4-42E7-96C4-CEDFA8E27A63}">
      <text>
        <r>
          <rPr>
            <b/>
            <sz val="9"/>
            <color indexed="81"/>
            <rFont val="Tahoma"/>
            <family val="2"/>
          </rPr>
          <t>California
Latitude: 120
Longitude: 45
Capacity: 1500
Batch Size: 30</t>
        </r>
      </text>
    </comment>
    <comment ref="M21" authorId="0" shapeId="0" xr:uid="{446DF624-AF0D-4A02-9A4E-36A693110331}">
      <text>
        <r>
          <rPr>
            <b/>
            <sz val="9"/>
            <color indexed="81"/>
            <rFont val="Tahoma"/>
            <family val="2"/>
          </rPr>
          <t xml:space="preserve">Tennessee
Latitude: 130
Longitude: 190
Capacity: 300
Batch Size: 20
</t>
        </r>
      </text>
    </comment>
    <comment ref="I24" authorId="0" shapeId="0" xr:uid="{995A66B8-CDC3-4B74-A509-E8AFC8E58868}">
      <text>
        <r>
          <rPr>
            <b/>
            <sz val="9"/>
            <color indexed="81"/>
            <rFont val="Tahoma"/>
            <family val="2"/>
          </rPr>
          <t>Arizona
Latitude: 25
Longitude: 85
Capacity: 150
Batch Size: 15</t>
        </r>
      </text>
    </comment>
    <comment ref="J24" authorId="0" shapeId="0" xr:uid="{486129F4-A160-44FF-8463-9389462D39D6}">
      <text>
        <r>
          <rPr>
            <b/>
            <sz val="9"/>
            <color indexed="81"/>
            <rFont val="Tahoma"/>
            <family val="2"/>
          </rPr>
          <t xml:space="preserve">NewMexico
Latitude: 40
Longitude: 155
Capacity: 250
Batch Size: 25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DCF71E9-9384-43A2-9BAD-BCAFAAF906C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FAF9FD72-F5E3-4C5B-96F0-FB14F8634B92}" name="WorksheetConnection_Sheet1!$A$1:$F$16" type="102" refreshedVersion="8" minRefreshableVersion="5">
    <extLst>
      <ext xmlns:x15="http://schemas.microsoft.com/office/spreadsheetml/2010/11/main" uri="{DE250136-89BD-433C-8126-D09CA5730AF9}">
        <x15:connection id="Range">
          <x15:rangePr sourceName="_xlcn.WorksheetConnection_Sheet1A1F161"/>
        </x15:connection>
      </ext>
    </extLst>
  </connection>
</connections>
</file>

<file path=xl/sharedStrings.xml><?xml version="1.0" encoding="utf-8"?>
<sst xmlns="http://schemas.openxmlformats.org/spreadsheetml/2006/main" count="280" uniqueCount="61">
  <si>
    <t>LATITUDE</t>
  </si>
  <si>
    <t>LONGITUDE</t>
  </si>
  <si>
    <t>Supplier</t>
  </si>
  <si>
    <t>Warehouse</t>
  </si>
  <si>
    <t>Factory</t>
  </si>
  <si>
    <t>Distance</t>
  </si>
  <si>
    <t>Montana</t>
  </si>
  <si>
    <t>NAME</t>
  </si>
  <si>
    <t>Cost per km</t>
  </si>
  <si>
    <t>Total cost of transportation</t>
  </si>
  <si>
    <t>S. No.</t>
  </si>
  <si>
    <t>Washington</t>
  </si>
  <si>
    <t>Nevada</t>
  </si>
  <si>
    <t>California</t>
  </si>
  <si>
    <t>Arizona</t>
  </si>
  <si>
    <t>NewMexico</t>
  </si>
  <si>
    <t>NorthDakota</t>
  </si>
  <si>
    <t>Colorado</t>
  </si>
  <si>
    <t>Iowa</t>
  </si>
  <si>
    <t>Kansas</t>
  </si>
  <si>
    <t>Wisconsin</t>
  </si>
  <si>
    <t>Michigan</t>
  </si>
  <si>
    <t>Illinois</t>
  </si>
  <si>
    <t>Tennessee</t>
  </si>
  <si>
    <t>Kentucky</t>
  </si>
  <si>
    <t>TYPE</t>
  </si>
  <si>
    <t>LOCATION</t>
  </si>
  <si>
    <t>Cost Matrix</t>
  </si>
  <si>
    <t>No. of trips</t>
  </si>
  <si>
    <t>Capacity</t>
  </si>
  <si>
    <t>Batch Size</t>
  </si>
  <si>
    <t>Warhead (MK-V)</t>
  </si>
  <si>
    <t>Trajectory Adjusted Inertial Navigation System (TAINS)</t>
  </si>
  <si>
    <t>Launcher Compatibility Systems (Inferno)</t>
  </si>
  <si>
    <t>INS/GPS Guidance Unit (SkyTracker-X)</t>
  </si>
  <si>
    <t>Launcher Compatibility Systems (Hellstrike)</t>
  </si>
  <si>
    <t>Components</t>
  </si>
  <si>
    <t>Units Required for 1 beer cup</t>
  </si>
  <si>
    <t>Cost of each unit</t>
  </si>
  <si>
    <t>Quantity</t>
  </si>
  <si>
    <t>Supplier Details</t>
  </si>
  <si>
    <t>Total</t>
  </si>
  <si>
    <t xml:space="preserve">Supplier </t>
  </si>
  <si>
    <t>Warehouse Details</t>
  </si>
  <si>
    <t>Total Quantity</t>
  </si>
  <si>
    <t>Hellstrike</t>
  </si>
  <si>
    <t>SkyTracker-X</t>
  </si>
  <si>
    <t>Inferno</t>
  </si>
  <si>
    <t>TAINS</t>
  </si>
  <si>
    <t>MK-V</t>
  </si>
  <si>
    <t>Fixed Cost</t>
  </si>
  <si>
    <t>Variable Cost</t>
  </si>
  <si>
    <t>No. of units produced</t>
  </si>
  <si>
    <t xml:space="preserve">Production Cost </t>
  </si>
  <si>
    <t>Total Production Cost</t>
  </si>
  <si>
    <t>Total raw materials cost</t>
  </si>
  <si>
    <t>Total Cost</t>
  </si>
  <si>
    <t>Quantities bought from suppliers</t>
  </si>
  <si>
    <t>Beer Cup Type</t>
  </si>
  <si>
    <t>Quantity Prodced</t>
  </si>
  <si>
    <t>Total quantity of raw materials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</si>
</sst>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9" x14ac:knownFonts="1"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name val="Calibri"/>
      <family val="2"/>
    </font>
    <font>
      <b/>
      <sz val="22"/>
      <color theme="1"/>
      <name val="Calibri"/>
      <family val="2"/>
    </font>
    <font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00FF00"/>
        <bgColor indexed="64"/>
      </patternFill>
    </fill>
  </fills>
  <borders count="37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21">
    <xf numFmtId="0" fontId="0" fillId="0" borderId="0" xfId="0"/>
    <xf numFmtId="0" fontId="0" fillId="2" borderId="0" xfId="0" applyFill="1"/>
    <xf numFmtId="0" fontId="1" fillId="2" borderId="2" xfId="0" applyFont="1" applyFill="1" applyBorder="1"/>
    <xf numFmtId="0" fontId="0" fillId="2" borderId="2" xfId="0" applyFill="1" applyBorder="1"/>
    <xf numFmtId="0" fontId="0" fillId="2" borderId="5" xfId="0" applyFill="1" applyBorder="1"/>
    <xf numFmtId="0" fontId="0" fillId="2" borderId="3" xfId="0" applyFill="1" applyBorder="1"/>
    <xf numFmtId="0" fontId="1" fillId="2" borderId="6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0" fillId="2" borderId="4" xfId="0" applyFill="1" applyBorder="1"/>
    <xf numFmtId="0" fontId="0" fillId="2" borderId="6" xfId="0" applyFill="1" applyBorder="1"/>
    <xf numFmtId="0" fontId="0" fillId="2" borderId="8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1" fillId="2" borderId="4" xfId="0" applyFont="1" applyFill="1" applyBorder="1"/>
    <xf numFmtId="0" fontId="0" fillId="2" borderId="9" xfId="0" applyFill="1" applyBorder="1"/>
    <xf numFmtId="0" fontId="0" fillId="2" borderId="19" xfId="0" applyFill="1" applyBorder="1"/>
    <xf numFmtId="0" fontId="0" fillId="2" borderId="16" xfId="0" applyFill="1" applyBorder="1"/>
    <xf numFmtId="0" fontId="0" fillId="2" borderId="21" xfId="0" applyFill="1" applyBorder="1"/>
    <xf numFmtId="0" fontId="0" fillId="2" borderId="0" xfId="0" applyFill="1" applyAlignment="1">
      <alignment wrapText="1"/>
    </xf>
    <xf numFmtId="0" fontId="1" fillId="2" borderId="0" xfId="0" applyFont="1" applyFill="1"/>
    <xf numFmtId="0" fontId="1" fillId="2" borderId="24" xfId="0" applyFont="1" applyFill="1" applyBorder="1"/>
    <xf numFmtId="0" fontId="0" fillId="2" borderId="25" xfId="0" applyFill="1" applyBorder="1"/>
    <xf numFmtId="0" fontId="1" fillId="2" borderId="26" xfId="0" applyFont="1" applyFill="1" applyBorder="1"/>
    <xf numFmtId="0" fontId="1" fillId="2" borderId="16" xfId="0" applyFont="1" applyFill="1" applyBorder="1"/>
    <xf numFmtId="0" fontId="1" fillId="5" borderId="24" xfId="0" applyFont="1" applyFill="1" applyBorder="1"/>
    <xf numFmtId="0" fontId="1" fillId="5" borderId="26" xfId="0" applyFont="1" applyFill="1" applyBorder="1"/>
    <xf numFmtId="0" fontId="1" fillId="4" borderId="16" xfId="0" applyFont="1" applyFill="1" applyBorder="1"/>
    <xf numFmtId="0" fontId="1" fillId="2" borderId="8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0" fillId="2" borderId="2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5" xfId="0" applyFill="1" applyBorder="1" applyProtection="1">
      <protection locked="0"/>
    </xf>
    <xf numFmtId="0" fontId="0" fillId="2" borderId="18" xfId="0" applyFill="1" applyBorder="1"/>
    <xf numFmtId="0" fontId="1" fillId="5" borderId="16" xfId="0" applyFont="1" applyFill="1" applyBorder="1" applyAlignment="1">
      <alignment horizontal="center"/>
    </xf>
    <xf numFmtId="0" fontId="1" fillId="5" borderId="20" xfId="0" applyFont="1" applyFill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9" fontId="1" fillId="5" borderId="16" xfId="1" applyFont="1" applyFill="1" applyBorder="1" applyAlignment="1">
      <alignment horizontal="center"/>
    </xf>
    <xf numFmtId="9" fontId="1" fillId="5" borderId="20" xfId="1" applyFont="1" applyFill="1" applyBorder="1" applyAlignment="1">
      <alignment horizontal="center"/>
    </xf>
    <xf numFmtId="9" fontId="1" fillId="5" borderId="17" xfId="1" applyFont="1" applyFill="1" applyBorder="1" applyAlignment="1">
      <alignment horizontal="center"/>
    </xf>
    <xf numFmtId="0" fontId="0" fillId="2" borderId="23" xfId="0" applyFill="1" applyBorder="1"/>
    <xf numFmtId="9" fontId="0" fillId="2" borderId="0" xfId="0" applyNumberFormat="1" applyFill="1"/>
    <xf numFmtId="0" fontId="0" fillId="2" borderId="23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0" fontId="0" fillId="2" borderId="35" xfId="0" applyFill="1" applyBorder="1" applyAlignment="1">
      <alignment horizontal="center"/>
    </xf>
    <xf numFmtId="0" fontId="1" fillId="2" borderId="16" xfId="0" applyFont="1" applyFill="1" applyBorder="1" applyAlignment="1">
      <alignment wrapText="1"/>
    </xf>
    <xf numFmtId="0" fontId="1" fillId="5" borderId="32" xfId="0" applyFont="1" applyFill="1" applyBorder="1" applyAlignment="1">
      <alignment horizontal="center" wrapText="1"/>
    </xf>
    <xf numFmtId="0" fontId="1" fillId="2" borderId="9" xfId="0" applyFont="1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9" fontId="0" fillId="5" borderId="33" xfId="0" applyNumberFormat="1" applyFill="1" applyBorder="1" applyAlignment="1">
      <alignment horizontal="center"/>
    </xf>
    <xf numFmtId="9" fontId="0" fillId="5" borderId="34" xfId="0" applyNumberFormat="1" applyFill="1" applyBorder="1" applyAlignment="1">
      <alignment horizontal="center"/>
    </xf>
    <xf numFmtId="9" fontId="0" fillId="5" borderId="35" xfId="0" applyNumberFormat="1" applyFill="1" applyBorder="1" applyAlignment="1">
      <alignment horizontal="center"/>
    </xf>
    <xf numFmtId="0" fontId="1" fillId="4" borderId="9" xfId="0" applyFont="1" applyFill="1" applyBorder="1" applyAlignment="1">
      <alignment horizontal="center" vertical="center" wrapText="1"/>
    </xf>
    <xf numFmtId="0" fontId="1" fillId="4" borderId="20" xfId="0" applyFont="1" applyFill="1" applyBorder="1"/>
    <xf numFmtId="0" fontId="1" fillId="4" borderId="17" xfId="0" applyFont="1" applyFill="1" applyBorder="1"/>
    <xf numFmtId="0" fontId="6" fillId="4" borderId="16" xfId="0" applyFont="1" applyFill="1" applyBorder="1"/>
    <xf numFmtId="0" fontId="6" fillId="4" borderId="20" xfId="0" applyFont="1" applyFill="1" applyBorder="1"/>
    <xf numFmtId="0" fontId="6" fillId="4" borderId="17" xfId="0" applyFont="1" applyFill="1" applyBorder="1"/>
    <xf numFmtId="0" fontId="1" fillId="2" borderId="9" xfId="0" applyFont="1" applyFill="1" applyBorder="1"/>
    <xf numFmtId="0" fontId="0" fillId="2" borderId="0" xfId="0" applyFill="1" applyAlignment="1">
      <alignment horizontal="center"/>
    </xf>
    <xf numFmtId="0" fontId="0" fillId="6" borderId="2" xfId="0" applyFill="1" applyBorder="1" applyProtection="1">
      <protection locked="0"/>
    </xf>
    <xf numFmtId="0" fontId="0" fillId="6" borderId="33" xfId="0" applyFill="1" applyBorder="1" applyAlignment="1" applyProtection="1">
      <alignment horizontal="center"/>
      <protection locked="0"/>
    </xf>
    <xf numFmtId="0" fontId="0" fillId="6" borderId="34" xfId="0" applyFill="1" applyBorder="1" applyAlignment="1" applyProtection="1">
      <alignment horizontal="center"/>
      <protection locked="0"/>
    </xf>
    <xf numFmtId="0" fontId="0" fillId="6" borderId="35" xfId="0" applyFill="1" applyBorder="1" applyAlignment="1" applyProtection="1">
      <alignment horizontal="center"/>
      <protection locked="0"/>
    </xf>
    <xf numFmtId="0" fontId="0" fillId="6" borderId="23" xfId="0" applyFill="1" applyBorder="1" applyAlignment="1" applyProtection="1">
      <alignment horizontal="center"/>
      <protection locked="0"/>
    </xf>
    <xf numFmtId="0" fontId="0" fillId="6" borderId="25" xfId="0" applyFill="1" applyBorder="1" applyAlignment="1" applyProtection="1">
      <alignment horizontal="center"/>
      <protection locked="0"/>
    </xf>
    <xf numFmtId="0" fontId="0" fillId="6" borderId="28" xfId="0" applyFill="1" applyBorder="1" applyAlignment="1" applyProtection="1">
      <alignment horizontal="center"/>
      <protection locked="0"/>
    </xf>
    <xf numFmtId="0" fontId="1" fillId="7" borderId="9" xfId="0" applyFont="1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7" borderId="2" xfId="0" applyFill="1" applyBorder="1"/>
    <xf numFmtId="0" fontId="0" fillId="7" borderId="12" xfId="0" applyFill="1" applyBorder="1"/>
    <xf numFmtId="0" fontId="0" fillId="7" borderId="13" xfId="0" applyFill="1" applyBorder="1"/>
    <xf numFmtId="0" fontId="0" fillId="2" borderId="16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4" fontId="1" fillId="0" borderId="1" xfId="0" applyNumberFormat="1" applyFont="1" applyBorder="1" applyProtection="1">
      <protection hidden="1"/>
    </xf>
    <xf numFmtId="164" fontId="1" fillId="0" borderId="0" xfId="0" applyNumberFormat="1" applyFont="1" applyProtection="1">
      <protection hidden="1"/>
    </xf>
    <xf numFmtId="164" fontId="0" fillId="0" borderId="0" xfId="0" applyNumberFormat="1" applyProtection="1">
      <protection hidden="1"/>
    </xf>
    <xf numFmtId="164" fontId="1" fillId="0" borderId="0" xfId="0" applyNumberFormat="1" applyFont="1" applyAlignment="1" applyProtection="1">
      <alignment vertical="center" wrapText="1"/>
      <protection hidden="1"/>
    </xf>
    <xf numFmtId="164" fontId="1" fillId="0" borderId="0" xfId="0" applyNumberFormat="1" applyFont="1" applyAlignment="1" applyProtection="1">
      <alignment horizontal="center" wrapText="1"/>
      <protection hidden="1"/>
    </xf>
    <xf numFmtId="0" fontId="7" fillId="2" borderId="31" xfId="0" applyFont="1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7" fillId="7" borderId="22" xfId="0" applyFont="1" applyFill="1" applyBorder="1" applyAlignment="1">
      <alignment horizontal="center"/>
    </xf>
    <xf numFmtId="0" fontId="7" fillId="7" borderId="31" xfId="0" applyFont="1" applyFill="1" applyBorder="1" applyAlignment="1">
      <alignment horizontal="center"/>
    </xf>
    <xf numFmtId="0" fontId="7" fillId="7" borderId="23" xfId="0" applyFont="1" applyFill="1" applyBorder="1" applyAlignment="1">
      <alignment horizontal="center"/>
    </xf>
    <xf numFmtId="0" fontId="7" fillId="7" borderId="26" xfId="0" applyFont="1" applyFill="1" applyBorder="1" applyAlignment="1">
      <alignment horizontal="center"/>
    </xf>
    <xf numFmtId="0" fontId="7" fillId="7" borderId="27" xfId="0" applyFont="1" applyFill="1" applyBorder="1" applyAlignment="1">
      <alignment horizontal="center"/>
    </xf>
    <xf numFmtId="0" fontId="7" fillId="7" borderId="28" xfId="0" applyFont="1" applyFill="1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1" fillId="2" borderId="29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3" borderId="16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0" fontId="1" fillId="2" borderId="30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/>
    </xf>
    <xf numFmtId="164" fontId="1" fillId="0" borderId="0" xfId="0" applyNumberFormat="1" applyFont="1" applyAlignment="1" applyProtection="1">
      <alignment horizontal="center"/>
      <protection hidden="1"/>
    </xf>
    <xf numFmtId="164" fontId="0" fillId="0" borderId="0" xfId="0" applyNumberFormat="1" applyAlignment="1" applyProtection="1">
      <alignment horizontal="center"/>
      <protection hidden="1"/>
    </xf>
    <xf numFmtId="0" fontId="8" fillId="8" borderId="36" xfId="0" applyFont="1" applyFill="1" applyBorder="1" applyAlignment="1">
      <alignment horizontal="right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28</xdr:col>
          <xdr:colOff>6350</xdr:colOff>
          <xdr:row>3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Supplier Details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</xdr:row>
          <xdr:rowOff>0</xdr:rowOff>
        </xdr:from>
        <xdr:to>
          <xdr:col>28</xdr:col>
          <xdr:colOff>6350</xdr:colOff>
          <xdr:row>5</xdr:row>
          <xdr:rowOff>177800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Factory Details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596900</xdr:colOff>
          <xdr:row>38</xdr:row>
          <xdr:rowOff>0</xdr:rowOff>
        </xdr:from>
        <xdr:to>
          <xdr:col>20</xdr:col>
          <xdr:colOff>0</xdr:colOff>
          <xdr:row>40</xdr:row>
          <xdr:rowOff>12700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Factory Details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40</xdr:row>
          <xdr:rowOff>177800</xdr:rowOff>
        </xdr:from>
        <xdr:to>
          <xdr:col>20</xdr:col>
          <xdr:colOff>6350</xdr:colOff>
          <xdr:row>43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Warehouse Details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5EA29-5A52-4666-B2E7-9BB331BBEEFD}">
  <sheetPr codeName="Sheet2"/>
  <dimension ref="A1:AM76"/>
  <sheetViews>
    <sheetView topLeftCell="A54" zoomScale="80" zoomScaleNormal="80" workbookViewId="0">
      <selection activeCell="L32" sqref="L32:O39"/>
    </sheetView>
  </sheetViews>
  <sheetFormatPr defaultColWidth="8.81640625" defaultRowHeight="14.5" x14ac:dyDescent="0.35"/>
  <cols>
    <col min="1" max="1" width="12" style="1" bestFit="1" customWidth="1"/>
    <col min="2" max="4" width="8.81640625" style="1"/>
    <col min="5" max="5" width="8.81640625" style="1" bestFit="1" customWidth="1"/>
    <col min="6" max="6" width="9" style="1" bestFit="1" customWidth="1"/>
    <col min="7" max="7" width="10.08984375" style="1" customWidth="1"/>
    <col min="8" max="8" width="9.1796875" style="1" bestFit="1" customWidth="1"/>
    <col min="9" max="9" width="12" style="1" bestFit="1" customWidth="1"/>
    <col min="10" max="10" width="16.08984375" style="1" customWidth="1"/>
    <col min="11" max="11" width="15.81640625" style="1" customWidth="1"/>
    <col min="12" max="12" width="9.1796875" style="1" customWidth="1"/>
    <col min="13" max="13" width="12.54296875" style="1" bestFit="1" customWidth="1"/>
    <col min="14" max="14" width="11.1796875" style="1" customWidth="1"/>
    <col min="15" max="21" width="8.81640625" style="1"/>
    <col min="22" max="22" width="10.6328125" style="1" bestFit="1" customWidth="1"/>
    <col min="23" max="23" width="10.90625" style="1" customWidth="1"/>
    <col min="24" max="24" width="10.6328125" style="1" bestFit="1" customWidth="1"/>
    <col min="25" max="25" width="10.90625" style="1" bestFit="1" customWidth="1"/>
    <col min="26" max="26" width="8.81640625" style="1"/>
    <col min="27" max="27" width="9.1796875" style="1" bestFit="1" customWidth="1"/>
    <col min="28" max="28" width="10.90625" style="1" bestFit="1" customWidth="1"/>
    <col min="29" max="30" width="10.6328125" style="1" bestFit="1" customWidth="1"/>
    <col min="31" max="31" width="10.36328125" style="1" customWidth="1"/>
    <col min="32" max="32" width="13.08984375" style="1" customWidth="1"/>
    <col min="33" max="33" width="10.90625" style="1" bestFit="1" customWidth="1"/>
    <col min="34" max="34" width="11.54296875" style="1" bestFit="1" customWidth="1"/>
    <col min="35" max="35" width="10.90625" style="1" customWidth="1"/>
    <col min="36" max="36" width="24.1796875" style="1" bestFit="1" customWidth="1"/>
    <col min="37" max="37" width="8.81640625" style="1"/>
    <col min="38" max="38" width="10.90625" style="1" bestFit="1" customWidth="1"/>
    <col min="39" max="16384" width="8.81640625" style="1"/>
  </cols>
  <sheetData>
    <row r="1" spans="1:39" ht="15" thickBot="1" x14ac:dyDescent="0.4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V1" s="3"/>
      <c r="W1" s="3"/>
      <c r="X1" s="3"/>
      <c r="Y1" s="3"/>
      <c r="Z1" s="3"/>
      <c r="AA1" s="3"/>
      <c r="AB1" s="3"/>
      <c r="AC1" s="5"/>
      <c r="AD1" s="106" t="s">
        <v>40</v>
      </c>
      <c r="AE1" s="107"/>
      <c r="AF1" s="108" t="s">
        <v>43</v>
      </c>
      <c r="AG1" s="109"/>
      <c r="AH1" s="4"/>
      <c r="AI1" s="3"/>
      <c r="AJ1" s="2"/>
      <c r="AK1" s="25"/>
      <c r="AL1" s="25"/>
      <c r="AM1" s="34"/>
    </row>
    <row r="2" spans="1:39" ht="15" thickBot="1" x14ac:dyDescent="0.4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V2" s="3"/>
      <c r="W2" s="3"/>
      <c r="X2" s="3"/>
      <c r="Y2" s="3"/>
      <c r="Z2" s="3"/>
      <c r="AA2" s="3"/>
      <c r="AB2" s="3"/>
      <c r="AC2" s="5"/>
      <c r="AD2" s="20" t="s">
        <v>42</v>
      </c>
      <c r="AE2" s="20" t="s">
        <v>39</v>
      </c>
      <c r="AF2" s="22" t="s">
        <v>3</v>
      </c>
      <c r="AG2" s="20" t="s">
        <v>39</v>
      </c>
      <c r="AH2" s="4"/>
      <c r="AI2" s="3"/>
      <c r="AJ2" s="3"/>
      <c r="AK2" s="25"/>
      <c r="AL2" s="25"/>
      <c r="AM2" s="34"/>
    </row>
    <row r="3" spans="1:39" x14ac:dyDescent="0.3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V3" s="3"/>
      <c r="W3" s="3"/>
      <c r="X3" s="3"/>
      <c r="Y3" s="3"/>
      <c r="Z3" s="3"/>
      <c r="AA3" s="3"/>
      <c r="AB3" s="3"/>
      <c r="AC3" s="5"/>
      <c r="AD3" s="18"/>
      <c r="AE3" s="18"/>
      <c r="AF3" s="17"/>
      <c r="AG3" s="18"/>
      <c r="AH3" s="4"/>
      <c r="AI3" s="3"/>
      <c r="AJ3" s="3"/>
    </row>
    <row r="4" spans="1:39" x14ac:dyDescent="0.3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V4" s="3"/>
      <c r="W4" s="3"/>
      <c r="X4" s="3"/>
      <c r="Y4" s="3"/>
      <c r="Z4" s="3"/>
      <c r="AA4" s="3"/>
      <c r="AB4" s="3"/>
      <c r="AC4" s="5"/>
      <c r="AD4" s="15" t="s">
        <v>6</v>
      </c>
      <c r="AE4" s="79">
        <f>(-SUMIFS('Map of Destruction'!$AI$12:$AI$36,'Map of Destruction'!$W$12:$W$36,'Map of Destruction'!AD4))+'Data Sheet'!E7</f>
        <v>0</v>
      </c>
      <c r="AF4" s="13" t="s">
        <v>12</v>
      </c>
      <c r="AG4" s="79">
        <f>SUMIFS($AI$41:$AI$66,$AA$41:$AA$66,AF4)</f>
        <v>100</v>
      </c>
      <c r="AH4" s="4"/>
      <c r="AI4" s="3"/>
      <c r="AJ4" s="3"/>
    </row>
    <row r="5" spans="1:39" x14ac:dyDescent="0.35">
      <c r="A5"/>
      <c r="B5"/>
      <c r="C5"/>
      <c r="D5"/>
      <c r="E5"/>
      <c r="F5" s="99"/>
      <c r="G5"/>
      <c r="H5"/>
      <c r="I5"/>
      <c r="J5"/>
      <c r="K5"/>
      <c r="L5"/>
      <c r="M5"/>
      <c r="N5"/>
      <c r="O5"/>
      <c r="P5"/>
      <c r="Q5"/>
      <c r="R5"/>
      <c r="S5"/>
      <c r="T5"/>
      <c r="V5" s="3"/>
      <c r="W5" s="3"/>
      <c r="X5" s="3"/>
      <c r="Y5" s="3"/>
      <c r="Z5" s="3"/>
      <c r="AA5" s="3"/>
      <c r="AB5" s="3"/>
      <c r="AC5" s="5"/>
      <c r="AD5" s="15" t="s">
        <v>13</v>
      </c>
      <c r="AE5" s="79">
        <f>(-SUMIFS('Map of Destruction'!$AI$12:$AI$36,'Map of Destruction'!$W$12:$W$36,'Map of Destruction'!AD5))+'Data Sheet'!E8</f>
        <v>0</v>
      </c>
      <c r="AF5" s="13" t="s">
        <v>16</v>
      </c>
      <c r="AG5" s="79">
        <f>SUMIFS($AI$41:$AI$66,$AA$41:$AA$66,AF5)</f>
        <v>150</v>
      </c>
      <c r="AH5" s="4"/>
      <c r="AI5" s="3"/>
      <c r="AJ5" s="3"/>
    </row>
    <row r="6" spans="1:39" x14ac:dyDescent="0.35">
      <c r="A6"/>
      <c r="B6"/>
      <c r="C6"/>
      <c r="D6"/>
      <c r="E6"/>
      <c r="F6" s="99"/>
      <c r="G6" s="100"/>
      <c r="H6"/>
      <c r="I6"/>
      <c r="J6"/>
      <c r="K6"/>
      <c r="L6"/>
      <c r="M6"/>
      <c r="N6"/>
      <c r="O6"/>
      <c r="P6"/>
      <c r="Q6"/>
      <c r="R6"/>
      <c r="S6"/>
      <c r="T6"/>
      <c r="V6" s="11"/>
      <c r="W6" s="11"/>
      <c r="X6" s="11"/>
      <c r="Y6" s="11"/>
      <c r="Z6" s="11"/>
      <c r="AA6" s="11"/>
      <c r="AB6" s="11"/>
      <c r="AC6" s="12"/>
      <c r="AD6" s="21" t="s">
        <v>21</v>
      </c>
      <c r="AE6" s="79">
        <f>(-SUMIFS('Map of Destruction'!$AI$12:$AI$36,'Map of Destruction'!$W$12:$W$36,'Map of Destruction'!AD6))+'Data Sheet'!E9</f>
        <v>0</v>
      </c>
      <c r="AF6" s="23" t="s">
        <v>23</v>
      </c>
      <c r="AG6" s="79">
        <f>SUMIFS($AI$41:$AI$66,$AA$41:$AA$66,AF6)</f>
        <v>260</v>
      </c>
      <c r="AH6" s="4"/>
      <c r="AI6" s="3"/>
      <c r="AJ6" s="3"/>
    </row>
    <row r="7" spans="1:39" ht="14.4" customHeight="1" x14ac:dyDescent="0.35">
      <c r="A7"/>
      <c r="B7"/>
      <c r="C7"/>
      <c r="D7"/>
      <c r="E7"/>
      <c r="F7"/>
      <c r="G7" s="100"/>
      <c r="H7"/>
      <c r="I7"/>
      <c r="J7" s="100"/>
      <c r="K7"/>
      <c r="L7"/>
      <c r="M7"/>
      <c r="N7"/>
      <c r="O7"/>
      <c r="P7"/>
      <c r="Q7"/>
      <c r="R7"/>
      <c r="S7"/>
      <c r="T7"/>
      <c r="V7" s="3"/>
      <c r="W7" s="3"/>
      <c r="X7" s="3"/>
      <c r="Y7" s="3"/>
      <c r="Z7" s="3"/>
      <c r="AA7" s="3"/>
      <c r="AB7" s="3"/>
      <c r="AC7" s="5"/>
      <c r="AD7" s="15" t="s">
        <v>22</v>
      </c>
      <c r="AE7" s="79">
        <f>(-SUMIFS('Map of Destruction'!$AI$12:$AI$36,'Map of Destruction'!$W$12:$W$36,'Map of Destruction'!AD7))+'Data Sheet'!E10</f>
        <v>0</v>
      </c>
      <c r="AF7" s="13" t="s">
        <v>15</v>
      </c>
      <c r="AG7" s="79">
        <f>SUMIFS($AI$41:$AI$66,$AA$41:$AA$66,AF7)</f>
        <v>250</v>
      </c>
      <c r="AH7" s="4"/>
      <c r="AI7" s="3"/>
      <c r="AJ7" s="3"/>
    </row>
    <row r="8" spans="1:39" ht="15" thickBot="1" x14ac:dyDescent="0.4">
      <c r="A8"/>
      <c r="B8"/>
      <c r="C8"/>
      <c r="D8"/>
      <c r="E8"/>
      <c r="F8"/>
      <c r="G8"/>
      <c r="H8"/>
      <c r="I8" s="100"/>
      <c r="J8" s="100"/>
      <c r="K8"/>
      <c r="L8"/>
      <c r="M8" s="100"/>
      <c r="N8"/>
      <c r="O8"/>
      <c r="P8"/>
      <c r="Q8"/>
      <c r="R8"/>
      <c r="S8"/>
      <c r="T8"/>
      <c r="V8" s="3"/>
      <c r="W8" s="3"/>
      <c r="X8" s="3"/>
      <c r="Y8" s="3"/>
      <c r="Z8" s="3"/>
      <c r="AA8" s="3"/>
      <c r="AB8" s="3"/>
      <c r="AC8" s="5"/>
      <c r="AD8" s="16" t="s">
        <v>17</v>
      </c>
      <c r="AE8" s="79">
        <f>(-SUMIFS('Map of Destruction'!$AI$12:$AI$36,'Map of Destruction'!$W$12:$W$36,'Map of Destruction'!AD8))+'Data Sheet'!E11</f>
        <v>0</v>
      </c>
      <c r="AF8" s="14" t="s">
        <v>14</v>
      </c>
      <c r="AG8" s="80">
        <f>SUMIFS($AI$41:$AI$66,$AA$41:$AA$66,AF8)</f>
        <v>75</v>
      </c>
      <c r="AH8" s="4"/>
      <c r="AI8" s="3"/>
      <c r="AJ8" s="3"/>
    </row>
    <row r="9" spans="1:39" ht="15" thickBot="1" x14ac:dyDescent="0.4">
      <c r="A9"/>
      <c r="B9"/>
      <c r="C9"/>
      <c r="D9"/>
      <c r="E9"/>
      <c r="F9"/>
      <c r="G9"/>
      <c r="H9"/>
      <c r="I9" s="100"/>
      <c r="J9"/>
      <c r="K9"/>
      <c r="L9"/>
      <c r="M9" s="100"/>
      <c r="N9" s="100"/>
      <c r="O9"/>
      <c r="P9"/>
      <c r="Q9"/>
      <c r="R9"/>
      <c r="S9"/>
      <c r="T9"/>
      <c r="V9" s="3"/>
      <c r="W9" s="11"/>
      <c r="X9" s="11"/>
      <c r="Y9" s="11"/>
      <c r="Z9" s="11"/>
      <c r="AA9" s="11"/>
      <c r="AB9" s="11"/>
      <c r="AC9" s="11"/>
      <c r="AD9" s="38"/>
      <c r="AE9" s="38"/>
      <c r="AF9" s="10"/>
      <c r="AG9" s="10"/>
      <c r="AH9" s="10"/>
      <c r="AI9" s="10"/>
      <c r="AJ9" s="10"/>
    </row>
    <row r="10" spans="1:39" ht="15" thickBot="1" x14ac:dyDescent="0.4">
      <c r="A10"/>
      <c r="B10"/>
      <c r="C10"/>
      <c r="D10"/>
      <c r="E10"/>
      <c r="F10"/>
      <c r="G10"/>
      <c r="H10"/>
      <c r="I10"/>
      <c r="J10"/>
      <c r="K10" s="99"/>
      <c r="L10" s="99"/>
      <c r="M10"/>
      <c r="N10" s="100"/>
      <c r="O10"/>
      <c r="P10"/>
      <c r="Q10"/>
      <c r="R10"/>
      <c r="S10"/>
      <c r="T10"/>
      <c r="V10" s="101" t="s">
        <v>10</v>
      </c>
      <c r="W10" s="103" t="s">
        <v>2</v>
      </c>
      <c r="X10" s="104"/>
      <c r="Y10" s="104"/>
      <c r="Z10" s="104"/>
      <c r="AA10" s="105"/>
      <c r="AB10" s="103" t="s">
        <v>4</v>
      </c>
      <c r="AC10" s="104"/>
      <c r="AD10" s="104"/>
      <c r="AE10" s="105"/>
      <c r="AF10" s="113" t="s">
        <v>5</v>
      </c>
      <c r="AG10" s="112" t="s">
        <v>8</v>
      </c>
      <c r="AH10" s="112" t="s">
        <v>28</v>
      </c>
      <c r="AI10" s="110" t="s">
        <v>44</v>
      </c>
      <c r="AJ10" s="112" t="s">
        <v>9</v>
      </c>
    </row>
    <row r="11" spans="1:39" x14ac:dyDescent="0.35">
      <c r="A11"/>
      <c r="B11"/>
      <c r="C11"/>
      <c r="D11"/>
      <c r="E11"/>
      <c r="F11"/>
      <c r="G11"/>
      <c r="H11"/>
      <c r="I11"/>
      <c r="J11"/>
      <c r="K11" s="99"/>
      <c r="L11" s="99"/>
      <c r="M11"/>
      <c r="N11"/>
      <c r="O11"/>
      <c r="P11"/>
      <c r="Q11"/>
      <c r="R11"/>
      <c r="S11"/>
      <c r="T11"/>
      <c r="V11" s="102"/>
      <c r="W11" s="19" t="s">
        <v>7</v>
      </c>
      <c r="X11" s="19" t="s">
        <v>0</v>
      </c>
      <c r="Y11" s="19" t="s">
        <v>1</v>
      </c>
      <c r="Z11" s="19" t="s">
        <v>29</v>
      </c>
      <c r="AA11" s="19" t="s">
        <v>30</v>
      </c>
      <c r="AB11" s="19" t="s">
        <v>7</v>
      </c>
      <c r="AC11" s="19" t="s">
        <v>0</v>
      </c>
      <c r="AD11" s="19" t="s">
        <v>1</v>
      </c>
      <c r="AE11" s="19" t="s">
        <v>29</v>
      </c>
      <c r="AF11" s="102"/>
      <c r="AG11" s="111"/>
      <c r="AH11" s="111"/>
      <c r="AI11" s="111"/>
      <c r="AJ11" s="111"/>
    </row>
    <row r="12" spans="1:39" x14ac:dyDescent="0.35">
      <c r="A12"/>
      <c r="B12"/>
      <c r="C12"/>
      <c r="D12"/>
      <c r="E12"/>
      <c r="F12"/>
      <c r="G12" s="99"/>
      <c r="H12"/>
      <c r="I12"/>
      <c r="J12"/>
      <c r="K12" s="100"/>
      <c r="L12"/>
      <c r="M12"/>
      <c r="N12"/>
      <c r="O12"/>
      <c r="P12"/>
      <c r="Q12"/>
      <c r="R12"/>
      <c r="S12"/>
      <c r="T12"/>
      <c r="V12" s="3">
        <v>1</v>
      </c>
      <c r="W12" s="35" t="s">
        <v>6</v>
      </c>
      <c r="X12" s="35">
        <v>50</v>
      </c>
      <c r="Y12" s="35">
        <v>140</v>
      </c>
      <c r="Z12" s="35">
        <v>1000</v>
      </c>
      <c r="AA12" s="35">
        <v>50</v>
      </c>
      <c r="AB12" s="35" t="s">
        <v>11</v>
      </c>
      <c r="AC12" s="35">
        <v>175</v>
      </c>
      <c r="AD12" s="35">
        <v>75</v>
      </c>
      <c r="AE12" s="35">
        <v>200</v>
      </c>
      <c r="AF12" s="3">
        <f t="shared" ref="AF12:AF36" si="0">ABS(X12-AC12)+ABS(Y12-AD12)</f>
        <v>190</v>
      </c>
      <c r="AG12" s="3">
        <f>IFERROR(INDEX('Data Sheet'!$K$4:$O$8,MATCH(W12,'Data Sheet'!$J$4:$J$8,0),MATCH('Map of Destruction'!AB12,'Data Sheet'!$K$3:$O$3,0)),0)</f>
        <v>50</v>
      </c>
      <c r="AH12" s="68">
        <v>2</v>
      </c>
      <c r="AI12" s="3">
        <f>AA12*AH12</f>
        <v>100</v>
      </c>
      <c r="AJ12" s="3">
        <f>AG12*AF12*AH12</f>
        <v>19000</v>
      </c>
    </row>
    <row r="13" spans="1:39" x14ac:dyDescent="0.35">
      <c r="A13"/>
      <c r="B13"/>
      <c r="C13"/>
      <c r="D13"/>
      <c r="E13"/>
      <c r="F13"/>
      <c r="G13" s="99"/>
      <c r="H13"/>
      <c r="I13" s="99"/>
      <c r="J13" s="99"/>
      <c r="K13" s="100"/>
      <c r="L13"/>
      <c r="M13"/>
      <c r="N13"/>
      <c r="O13"/>
      <c r="P13"/>
      <c r="Q13"/>
      <c r="R13"/>
      <c r="S13"/>
      <c r="T13"/>
      <c r="V13" s="3">
        <f>V12+1</f>
        <v>2</v>
      </c>
      <c r="W13" s="35" t="s">
        <v>6</v>
      </c>
      <c r="X13" s="35">
        <v>50</v>
      </c>
      <c r="Y13" s="35">
        <v>140</v>
      </c>
      <c r="Z13" s="35">
        <v>1000</v>
      </c>
      <c r="AA13" s="35">
        <v>50</v>
      </c>
      <c r="AB13" s="35" t="s">
        <v>20</v>
      </c>
      <c r="AC13" s="35">
        <v>65</v>
      </c>
      <c r="AD13" s="35">
        <v>175</v>
      </c>
      <c r="AE13" s="35">
        <v>180</v>
      </c>
      <c r="AF13" s="3">
        <f t="shared" si="0"/>
        <v>50</v>
      </c>
      <c r="AG13" s="3">
        <f>IFERROR(INDEX('Data Sheet'!$K$4:$O$8,MATCH(W13,'Data Sheet'!$J$4:$J$8,0),MATCH('Map of Destruction'!AB13,'Data Sheet'!$K$3:$O$3,0)),0)</f>
        <v>90</v>
      </c>
      <c r="AH13" s="68">
        <v>14</v>
      </c>
      <c r="AI13" s="3">
        <f t="shared" ref="AI13:AI36" si="1">AA13*AH13</f>
        <v>700</v>
      </c>
      <c r="AJ13" s="3">
        <f t="shared" ref="AJ13:AJ36" si="2">AG13*AF13*AH13</f>
        <v>63000</v>
      </c>
    </row>
    <row r="14" spans="1:39" x14ac:dyDescent="0.35">
      <c r="A14"/>
      <c r="B14"/>
      <c r="C14"/>
      <c r="D14"/>
      <c r="E14"/>
      <c r="F14"/>
      <c r="G14"/>
      <c r="H14" s="100"/>
      <c r="I14"/>
      <c r="J14"/>
      <c r="K14"/>
      <c r="L14"/>
      <c r="M14"/>
      <c r="N14"/>
      <c r="O14"/>
      <c r="P14"/>
      <c r="Q14"/>
      <c r="R14"/>
      <c r="S14"/>
      <c r="T14"/>
      <c r="V14" s="3">
        <f t="shared" ref="V14:V36" si="3">V13+1</f>
        <v>3</v>
      </c>
      <c r="W14" s="35" t="s">
        <v>6</v>
      </c>
      <c r="X14" s="35">
        <v>50</v>
      </c>
      <c r="Y14" s="35">
        <v>140</v>
      </c>
      <c r="Z14" s="35">
        <v>1000</v>
      </c>
      <c r="AA14" s="35">
        <v>50</v>
      </c>
      <c r="AB14" s="35" t="s">
        <v>18</v>
      </c>
      <c r="AC14" s="35">
        <v>95</v>
      </c>
      <c r="AD14" s="35">
        <v>200</v>
      </c>
      <c r="AE14" s="35">
        <v>150</v>
      </c>
      <c r="AF14" s="3">
        <f t="shared" si="0"/>
        <v>105</v>
      </c>
      <c r="AG14" s="3">
        <f>IFERROR(INDEX('Data Sheet'!$K$4:$O$8,MATCH(W14,'Data Sheet'!$J$4:$J$8,0),MATCH(AB14,'Data Sheet'!$K$3:$O$3,0)),0)</f>
        <v>75</v>
      </c>
      <c r="AH14" s="68">
        <v>0</v>
      </c>
      <c r="AI14" s="3">
        <f t="shared" si="1"/>
        <v>0</v>
      </c>
      <c r="AJ14" s="3">
        <f t="shared" si="2"/>
        <v>0</v>
      </c>
    </row>
    <row r="15" spans="1:39" x14ac:dyDescent="0.35">
      <c r="A15"/>
      <c r="B15"/>
      <c r="C15"/>
      <c r="D15"/>
      <c r="E15"/>
      <c r="F15"/>
      <c r="G15"/>
      <c r="H15" s="100"/>
      <c r="I15"/>
      <c r="J15" s="100"/>
      <c r="K15"/>
      <c r="L15"/>
      <c r="M15" s="100"/>
      <c r="N15"/>
      <c r="O15"/>
      <c r="P15"/>
      <c r="Q15"/>
      <c r="R15"/>
      <c r="S15"/>
      <c r="T15"/>
      <c r="V15" s="3">
        <f t="shared" si="3"/>
        <v>4</v>
      </c>
      <c r="W15" s="35" t="s">
        <v>6</v>
      </c>
      <c r="X15" s="35">
        <v>50</v>
      </c>
      <c r="Y15" s="35">
        <v>140</v>
      </c>
      <c r="Z15" s="35">
        <v>1000</v>
      </c>
      <c r="AA15" s="35">
        <v>50</v>
      </c>
      <c r="AB15" s="36" t="s">
        <v>19</v>
      </c>
      <c r="AC15" s="35">
        <v>150</v>
      </c>
      <c r="AD15" s="35">
        <v>100</v>
      </c>
      <c r="AE15" s="35">
        <v>175</v>
      </c>
      <c r="AF15" s="3">
        <f t="shared" si="0"/>
        <v>140</v>
      </c>
      <c r="AG15" s="3">
        <f>IFERROR(INDEX('Data Sheet'!$K$4:$O$8,MATCH(W15,'Data Sheet'!$J$4:$J$8,0),MATCH('Map of Destruction'!AB14,'Data Sheet'!$K$3:$O$3,0)),0)</f>
        <v>75</v>
      </c>
      <c r="AH15" s="68">
        <v>0</v>
      </c>
      <c r="AI15" s="3">
        <f t="shared" si="1"/>
        <v>0</v>
      </c>
      <c r="AJ15" s="3">
        <f t="shared" si="2"/>
        <v>0</v>
      </c>
    </row>
    <row r="16" spans="1:39" x14ac:dyDescent="0.35">
      <c r="A16"/>
      <c r="B16"/>
      <c r="C16"/>
      <c r="D16"/>
      <c r="E16"/>
      <c r="F16"/>
      <c r="G16"/>
      <c r="H16"/>
      <c r="I16"/>
      <c r="J16" s="100"/>
      <c r="K16" s="100"/>
      <c r="L16"/>
      <c r="M16" s="100"/>
      <c r="N16"/>
      <c r="O16"/>
      <c r="P16"/>
      <c r="Q16"/>
      <c r="R16"/>
      <c r="S16"/>
      <c r="T16"/>
      <c r="V16" s="3">
        <f t="shared" si="3"/>
        <v>5</v>
      </c>
      <c r="W16" s="35" t="s">
        <v>6</v>
      </c>
      <c r="X16" s="35">
        <v>50</v>
      </c>
      <c r="Y16" s="35">
        <v>140</v>
      </c>
      <c r="Z16" s="35">
        <v>1000</v>
      </c>
      <c r="AA16" s="35">
        <v>50</v>
      </c>
      <c r="AB16" s="35" t="s">
        <v>24</v>
      </c>
      <c r="AC16" s="35">
        <v>180</v>
      </c>
      <c r="AD16" s="35">
        <v>50</v>
      </c>
      <c r="AE16" s="35">
        <v>130</v>
      </c>
      <c r="AF16" s="3">
        <f t="shared" si="0"/>
        <v>220</v>
      </c>
      <c r="AG16" s="3">
        <f>IFERROR(INDEX('Data Sheet'!$K$4:$O$8,MATCH(W16,'Data Sheet'!$J$4:$J$8,0),MATCH('Map of Destruction'!AB16,'Data Sheet'!$K$3:$O$3,0)),0)</f>
        <v>45</v>
      </c>
      <c r="AH16" s="68">
        <v>4</v>
      </c>
      <c r="AI16" s="3">
        <f t="shared" si="1"/>
        <v>200</v>
      </c>
      <c r="AJ16" s="3">
        <f t="shared" si="2"/>
        <v>39600</v>
      </c>
    </row>
    <row r="17" spans="1:36" x14ac:dyDescent="0.35">
      <c r="A17"/>
      <c r="B17"/>
      <c r="C17"/>
      <c r="D17"/>
      <c r="E17"/>
      <c r="F17" s="99"/>
      <c r="G17"/>
      <c r="H17"/>
      <c r="I17"/>
      <c r="J17"/>
      <c r="K17" s="100"/>
      <c r="L17"/>
      <c r="M17"/>
      <c r="N17" s="100"/>
      <c r="O17"/>
      <c r="P17"/>
      <c r="Q17"/>
      <c r="R17"/>
      <c r="S17"/>
      <c r="T17"/>
      <c r="V17" s="3">
        <f t="shared" si="3"/>
        <v>6</v>
      </c>
      <c r="W17" s="35" t="s">
        <v>21</v>
      </c>
      <c r="X17" s="35">
        <v>70</v>
      </c>
      <c r="Y17" s="35">
        <v>180</v>
      </c>
      <c r="Z17" s="35">
        <v>2000</v>
      </c>
      <c r="AA17" s="35">
        <v>100</v>
      </c>
      <c r="AB17" s="35" t="s">
        <v>11</v>
      </c>
      <c r="AC17" s="35">
        <v>175</v>
      </c>
      <c r="AD17" s="35">
        <v>75</v>
      </c>
      <c r="AE17" s="35">
        <v>200</v>
      </c>
      <c r="AF17" s="3">
        <f t="shared" si="0"/>
        <v>210</v>
      </c>
      <c r="AG17" s="3">
        <f>IFERROR(INDEX('Data Sheet'!$K$4:$O$8,MATCH(W17,'Data Sheet'!$J$4:$J$8,0),MATCH('Map of Destruction'!AB17,'Data Sheet'!$K$3:$O$3,0)),0)</f>
        <v>60</v>
      </c>
      <c r="AH17" s="68">
        <v>0</v>
      </c>
      <c r="AI17" s="3">
        <f t="shared" si="1"/>
        <v>0</v>
      </c>
      <c r="AJ17" s="3">
        <f t="shared" si="2"/>
        <v>0</v>
      </c>
    </row>
    <row r="18" spans="1:36" x14ac:dyDescent="0.35">
      <c r="A18"/>
      <c r="B18"/>
      <c r="C18"/>
      <c r="D18"/>
      <c r="E18"/>
      <c r="F18" s="99"/>
      <c r="G18"/>
      <c r="H18"/>
      <c r="I18"/>
      <c r="J18"/>
      <c r="K18"/>
      <c r="L18"/>
      <c r="M18"/>
      <c r="N18" s="100"/>
      <c r="O18"/>
      <c r="P18"/>
      <c r="Q18"/>
      <c r="R18"/>
      <c r="S18"/>
      <c r="T18"/>
      <c r="V18" s="3">
        <f t="shared" si="3"/>
        <v>7</v>
      </c>
      <c r="W18" s="35" t="s">
        <v>21</v>
      </c>
      <c r="X18" s="35">
        <v>70</v>
      </c>
      <c r="Y18" s="35">
        <v>180</v>
      </c>
      <c r="Z18" s="35">
        <v>2000</v>
      </c>
      <c r="AA18" s="35">
        <v>100</v>
      </c>
      <c r="AB18" s="35" t="s">
        <v>20</v>
      </c>
      <c r="AC18" s="35">
        <v>65</v>
      </c>
      <c r="AD18" s="37">
        <v>175</v>
      </c>
      <c r="AE18" s="35">
        <v>180</v>
      </c>
      <c r="AF18" s="3">
        <f t="shared" si="0"/>
        <v>10</v>
      </c>
      <c r="AG18" s="3">
        <f>IFERROR(INDEX('Data Sheet'!$K$4:$O$8,MATCH(W18,'Data Sheet'!$J$4:$J$8,0),MATCH('Map of Destruction'!AB18,'Data Sheet'!$K$3:$O$3,0)),0)</f>
        <v>75</v>
      </c>
      <c r="AH18" s="68">
        <v>8</v>
      </c>
      <c r="AI18" s="3">
        <f t="shared" si="1"/>
        <v>800</v>
      </c>
      <c r="AJ18" s="3">
        <f t="shared" si="2"/>
        <v>6000</v>
      </c>
    </row>
    <row r="19" spans="1:36" x14ac:dyDescent="0.3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 s="24"/>
      <c r="V19" s="3">
        <f t="shared" si="3"/>
        <v>8</v>
      </c>
      <c r="W19" s="35" t="s">
        <v>21</v>
      </c>
      <c r="X19" s="35">
        <v>70</v>
      </c>
      <c r="Y19" s="35">
        <v>180</v>
      </c>
      <c r="Z19" s="35">
        <v>2000</v>
      </c>
      <c r="AA19" s="35">
        <v>100</v>
      </c>
      <c r="AB19" s="35" t="s">
        <v>18</v>
      </c>
      <c r="AC19" s="35">
        <v>95</v>
      </c>
      <c r="AD19" s="37">
        <v>200</v>
      </c>
      <c r="AE19" s="35">
        <v>150</v>
      </c>
      <c r="AF19" s="3">
        <f t="shared" si="0"/>
        <v>45</v>
      </c>
      <c r="AG19" s="3">
        <f>IFERROR(INDEX('Data Sheet'!$K$4:$O$8,MATCH(W19,'Data Sheet'!$J$4:$J$8,0),MATCH('Map of Destruction'!AB19,'Data Sheet'!$K$3:$O$3,0)),0)</f>
        <v>35</v>
      </c>
      <c r="AH19" s="68">
        <v>8</v>
      </c>
      <c r="AI19" s="3">
        <f t="shared" si="1"/>
        <v>800</v>
      </c>
      <c r="AJ19" s="3">
        <f t="shared" si="2"/>
        <v>12600</v>
      </c>
    </row>
    <row r="20" spans="1:36" x14ac:dyDescent="0.35">
      <c r="A20"/>
      <c r="B20"/>
      <c r="C20"/>
      <c r="D20"/>
      <c r="E20"/>
      <c r="F20"/>
      <c r="G20" s="100"/>
      <c r="H20" s="99"/>
      <c r="I20"/>
      <c r="J20"/>
      <c r="K20"/>
      <c r="L20"/>
      <c r="M20"/>
      <c r="N20"/>
      <c r="O20"/>
      <c r="P20"/>
      <c r="Q20"/>
      <c r="R20"/>
      <c r="S20"/>
      <c r="T20"/>
      <c r="V20" s="3">
        <f t="shared" si="3"/>
        <v>9</v>
      </c>
      <c r="W20" s="35" t="s">
        <v>21</v>
      </c>
      <c r="X20" s="35">
        <v>70</v>
      </c>
      <c r="Y20" s="35">
        <v>180</v>
      </c>
      <c r="Z20" s="35">
        <v>2000</v>
      </c>
      <c r="AA20" s="35">
        <v>100</v>
      </c>
      <c r="AB20" s="35" t="s">
        <v>19</v>
      </c>
      <c r="AC20" s="35">
        <v>150</v>
      </c>
      <c r="AD20" s="37">
        <v>100</v>
      </c>
      <c r="AE20" s="35">
        <v>175</v>
      </c>
      <c r="AF20" s="3">
        <f t="shared" si="0"/>
        <v>160</v>
      </c>
      <c r="AG20" s="3">
        <f>IFERROR(INDEX('Data Sheet'!$K$4:$O$8,MATCH(W20,'Data Sheet'!$J$4:$J$8,0),MATCH('Map of Destruction'!AB20,'Data Sheet'!$K$3:$O$3,0)),0)</f>
        <v>40</v>
      </c>
      <c r="AH20" s="68">
        <v>4</v>
      </c>
      <c r="AI20" s="3">
        <f t="shared" si="1"/>
        <v>400</v>
      </c>
      <c r="AJ20" s="3">
        <f t="shared" si="2"/>
        <v>25600</v>
      </c>
    </row>
    <row r="21" spans="1:36" ht="17.5" customHeight="1" x14ac:dyDescent="0.35">
      <c r="A21"/>
      <c r="B21"/>
      <c r="C21"/>
      <c r="D21"/>
      <c r="E21"/>
      <c r="F21"/>
      <c r="G21" s="100"/>
      <c r="H21" s="99"/>
      <c r="I21"/>
      <c r="J21"/>
      <c r="K21"/>
      <c r="L21"/>
      <c r="M21" s="100"/>
      <c r="N21"/>
      <c r="O21"/>
      <c r="P21"/>
      <c r="Q21"/>
      <c r="R21"/>
      <c r="S21"/>
      <c r="T21"/>
      <c r="V21" s="3">
        <f t="shared" si="3"/>
        <v>10</v>
      </c>
      <c r="W21" s="35" t="s">
        <v>21</v>
      </c>
      <c r="X21" s="35">
        <v>70</v>
      </c>
      <c r="Y21" s="35">
        <v>180</v>
      </c>
      <c r="Z21" s="35">
        <v>2000</v>
      </c>
      <c r="AA21" s="35">
        <v>100</v>
      </c>
      <c r="AB21" s="35" t="s">
        <v>24</v>
      </c>
      <c r="AC21" s="35">
        <v>180</v>
      </c>
      <c r="AD21" s="37">
        <v>50</v>
      </c>
      <c r="AE21" s="35">
        <v>130</v>
      </c>
      <c r="AF21" s="3">
        <f t="shared" si="0"/>
        <v>240</v>
      </c>
      <c r="AG21" s="3">
        <f>IFERROR(INDEX('Data Sheet'!$K$4:$O$8,MATCH(W21,'Data Sheet'!$J$4:$J$8,0),MATCH('Map of Destruction'!AB21,'Data Sheet'!$K$3:$O$3,0)),0)</f>
        <v>45</v>
      </c>
      <c r="AH21" s="68">
        <v>0</v>
      </c>
      <c r="AI21" s="3">
        <f t="shared" si="1"/>
        <v>0</v>
      </c>
      <c r="AJ21" s="3">
        <f t="shared" si="2"/>
        <v>0</v>
      </c>
    </row>
    <row r="22" spans="1:36" x14ac:dyDescent="0.35">
      <c r="A22"/>
      <c r="B22"/>
      <c r="C22"/>
      <c r="D22"/>
      <c r="E22"/>
      <c r="F22"/>
      <c r="G22"/>
      <c r="H22"/>
      <c r="I22"/>
      <c r="J22"/>
      <c r="K22"/>
      <c r="L22"/>
      <c r="M22" s="100"/>
      <c r="N22"/>
      <c r="O22"/>
      <c r="P22"/>
      <c r="Q22"/>
      <c r="R22"/>
      <c r="S22"/>
      <c r="T22"/>
      <c r="V22" s="3">
        <f t="shared" si="3"/>
        <v>11</v>
      </c>
      <c r="W22" s="35" t="s">
        <v>17</v>
      </c>
      <c r="X22" s="35">
        <v>110</v>
      </c>
      <c r="Y22" s="35">
        <v>60</v>
      </c>
      <c r="Z22" s="35">
        <v>1500</v>
      </c>
      <c r="AA22" s="35">
        <v>75</v>
      </c>
      <c r="AB22" s="35" t="s">
        <v>11</v>
      </c>
      <c r="AC22" s="35">
        <v>175</v>
      </c>
      <c r="AD22" s="37">
        <v>75</v>
      </c>
      <c r="AE22" s="35">
        <v>200</v>
      </c>
      <c r="AF22" s="3">
        <f t="shared" si="0"/>
        <v>80</v>
      </c>
      <c r="AG22" s="3">
        <f>IFERROR(INDEX('Data Sheet'!$K$4:$O$8,MATCH(W22,'Data Sheet'!$J$4:$J$8,0),MATCH('Map of Destruction'!AB22,'Data Sheet'!$K$3:$O$3,0)),0)</f>
        <v>25</v>
      </c>
      <c r="AH22" s="68">
        <v>20</v>
      </c>
      <c r="AI22" s="3">
        <f t="shared" si="1"/>
        <v>1500</v>
      </c>
      <c r="AJ22" s="3">
        <f t="shared" si="2"/>
        <v>40000</v>
      </c>
    </row>
    <row r="23" spans="1:36" x14ac:dyDescent="0.3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V23" s="3">
        <f t="shared" si="3"/>
        <v>12</v>
      </c>
      <c r="W23" s="35" t="s">
        <v>17</v>
      </c>
      <c r="X23" s="35">
        <v>110</v>
      </c>
      <c r="Y23" s="35">
        <v>60</v>
      </c>
      <c r="Z23" s="35">
        <v>1500</v>
      </c>
      <c r="AA23" s="35">
        <v>75</v>
      </c>
      <c r="AB23" s="35" t="s">
        <v>20</v>
      </c>
      <c r="AC23" s="35">
        <v>65</v>
      </c>
      <c r="AD23" s="37">
        <v>175</v>
      </c>
      <c r="AE23" s="35">
        <v>180</v>
      </c>
      <c r="AF23" s="3">
        <f t="shared" si="0"/>
        <v>160</v>
      </c>
      <c r="AG23" s="3">
        <f>IFERROR(INDEX('Data Sheet'!$K$4:$O$8,MATCH(W23,'Data Sheet'!$J$4:$J$8,0),MATCH('Map of Destruction'!AB23,'Data Sheet'!$K$3:$O$3,0)),0)</f>
        <v>30</v>
      </c>
      <c r="AH23" s="68">
        <v>0</v>
      </c>
      <c r="AI23" s="3">
        <f t="shared" si="1"/>
        <v>0</v>
      </c>
      <c r="AJ23" s="3">
        <f t="shared" si="2"/>
        <v>0</v>
      </c>
    </row>
    <row r="24" spans="1:36" x14ac:dyDescent="0.35">
      <c r="A24"/>
      <c r="B24"/>
      <c r="C24"/>
      <c r="D24"/>
      <c r="E24"/>
      <c r="F24"/>
      <c r="G24"/>
      <c r="H24"/>
      <c r="I24" s="100"/>
      <c r="J24" s="100"/>
      <c r="K24"/>
      <c r="L24"/>
      <c r="M24"/>
      <c r="N24"/>
      <c r="O24"/>
      <c r="P24"/>
      <c r="Q24"/>
      <c r="R24"/>
      <c r="S24"/>
      <c r="T24"/>
      <c r="V24" s="3">
        <f t="shared" si="3"/>
        <v>13</v>
      </c>
      <c r="W24" s="35" t="s">
        <v>17</v>
      </c>
      <c r="X24" s="35">
        <v>110</v>
      </c>
      <c r="Y24" s="35">
        <v>60</v>
      </c>
      <c r="Z24" s="35">
        <v>1500</v>
      </c>
      <c r="AA24" s="35">
        <v>75</v>
      </c>
      <c r="AB24" s="35" t="s">
        <v>18</v>
      </c>
      <c r="AC24" s="35">
        <v>95</v>
      </c>
      <c r="AD24" s="37">
        <v>200</v>
      </c>
      <c r="AE24" s="35">
        <v>150</v>
      </c>
      <c r="AF24" s="3">
        <f t="shared" si="0"/>
        <v>155</v>
      </c>
      <c r="AG24" s="3">
        <f>IFERROR(INDEX('Data Sheet'!$K$4:$O$8,MATCH(W24,'Data Sheet'!$J$4:$J$8,0),MATCH('Map of Destruction'!AB24,'Data Sheet'!$K$3:$O$3,0)),0)</f>
        <v>45</v>
      </c>
      <c r="AH24" s="68">
        <v>0</v>
      </c>
      <c r="AI24" s="3">
        <f t="shared" si="1"/>
        <v>0</v>
      </c>
      <c r="AJ24" s="3">
        <f t="shared" si="2"/>
        <v>0</v>
      </c>
    </row>
    <row r="25" spans="1:36" x14ac:dyDescent="0.35">
      <c r="A25"/>
      <c r="B25"/>
      <c r="C25"/>
      <c r="D25"/>
      <c r="E25"/>
      <c r="F25"/>
      <c r="G25"/>
      <c r="H25"/>
      <c r="I25" s="100"/>
      <c r="J25" s="100"/>
      <c r="K25"/>
      <c r="L25"/>
      <c r="M25"/>
      <c r="N25"/>
      <c r="O25"/>
      <c r="P25"/>
      <c r="Q25"/>
      <c r="R25"/>
      <c r="S25"/>
      <c r="T25"/>
      <c r="V25" s="3">
        <f t="shared" si="3"/>
        <v>14</v>
      </c>
      <c r="W25" s="35" t="s">
        <v>17</v>
      </c>
      <c r="X25" s="35">
        <v>110</v>
      </c>
      <c r="Y25" s="35">
        <v>60</v>
      </c>
      <c r="Z25" s="35">
        <v>1500</v>
      </c>
      <c r="AA25" s="35">
        <v>75</v>
      </c>
      <c r="AB25" s="35" t="s">
        <v>19</v>
      </c>
      <c r="AC25" s="35">
        <v>150</v>
      </c>
      <c r="AD25" s="37">
        <v>100</v>
      </c>
      <c r="AE25" s="35">
        <v>175</v>
      </c>
      <c r="AF25" s="3">
        <f t="shared" si="0"/>
        <v>80</v>
      </c>
      <c r="AG25" s="3">
        <f>IFERROR(INDEX('Data Sheet'!$K$4:$O$8,MATCH(W25,'Data Sheet'!$J$4:$J$8,0),MATCH('Map of Destruction'!AB25,'Data Sheet'!$K$3:$O$3,0)),0)</f>
        <v>50</v>
      </c>
      <c r="AH25" s="68">
        <v>0</v>
      </c>
      <c r="AI25" s="3">
        <f t="shared" si="1"/>
        <v>0</v>
      </c>
      <c r="AJ25" s="3">
        <f t="shared" si="2"/>
        <v>0</v>
      </c>
    </row>
    <row r="26" spans="1:36" x14ac:dyDescent="0.3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V26" s="3">
        <f t="shared" si="3"/>
        <v>15</v>
      </c>
      <c r="W26" s="35" t="s">
        <v>17</v>
      </c>
      <c r="X26" s="35">
        <v>110</v>
      </c>
      <c r="Y26" s="35">
        <v>60</v>
      </c>
      <c r="Z26" s="35">
        <v>1500</v>
      </c>
      <c r="AA26" s="35">
        <v>75</v>
      </c>
      <c r="AB26" s="35" t="s">
        <v>24</v>
      </c>
      <c r="AC26" s="35">
        <v>180</v>
      </c>
      <c r="AD26" s="37">
        <v>50</v>
      </c>
      <c r="AE26" s="35">
        <v>130</v>
      </c>
      <c r="AF26" s="3">
        <f t="shared" si="0"/>
        <v>80</v>
      </c>
      <c r="AG26" s="3">
        <f>IFERROR(INDEX('Data Sheet'!$K$4:$O$8,MATCH(W26,'Data Sheet'!$J$4:$J$8,0),MATCH('Map of Destruction'!AB26,'Data Sheet'!$K$3:$O$3,0)),0)</f>
        <v>80</v>
      </c>
      <c r="AH26" s="68">
        <v>0</v>
      </c>
      <c r="AI26" s="3">
        <f t="shared" si="1"/>
        <v>0</v>
      </c>
      <c r="AJ26" s="3">
        <f t="shared" si="2"/>
        <v>0</v>
      </c>
    </row>
    <row r="27" spans="1:36" x14ac:dyDescent="0.3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V27" s="3">
        <f t="shared" si="3"/>
        <v>16</v>
      </c>
      <c r="W27" s="35" t="s">
        <v>22</v>
      </c>
      <c r="X27" s="35">
        <v>90</v>
      </c>
      <c r="Y27" s="35">
        <v>135</v>
      </c>
      <c r="Z27" s="35">
        <v>750</v>
      </c>
      <c r="AA27" s="35">
        <v>50</v>
      </c>
      <c r="AB27" s="35" t="s">
        <v>11</v>
      </c>
      <c r="AC27" s="35">
        <v>175</v>
      </c>
      <c r="AD27" s="37">
        <v>75</v>
      </c>
      <c r="AE27" s="35">
        <v>200</v>
      </c>
      <c r="AF27" s="3">
        <f t="shared" si="0"/>
        <v>145</v>
      </c>
      <c r="AG27" s="3">
        <f>IFERROR(INDEX('Data Sheet'!$K$4:$O$8,MATCH(W27,'Data Sheet'!$J$4:$J$8,0),MATCH('Map of Destruction'!AB27,'Data Sheet'!$K$3:$O$3,0)),0)</f>
        <v>80</v>
      </c>
      <c r="AH27" s="68">
        <v>0</v>
      </c>
      <c r="AI27" s="3">
        <f t="shared" si="1"/>
        <v>0</v>
      </c>
      <c r="AJ27" s="3">
        <f t="shared" si="2"/>
        <v>0</v>
      </c>
    </row>
    <row r="28" spans="1:36" x14ac:dyDescent="0.3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V28" s="3">
        <f t="shared" si="3"/>
        <v>17</v>
      </c>
      <c r="W28" s="35" t="s">
        <v>22</v>
      </c>
      <c r="X28" s="35">
        <v>90</v>
      </c>
      <c r="Y28" s="35">
        <v>135</v>
      </c>
      <c r="Z28" s="35">
        <v>750</v>
      </c>
      <c r="AA28" s="35">
        <v>50</v>
      </c>
      <c r="AB28" s="35" t="s">
        <v>20</v>
      </c>
      <c r="AC28" s="35">
        <v>65</v>
      </c>
      <c r="AD28" s="37">
        <v>175</v>
      </c>
      <c r="AE28" s="35">
        <v>180</v>
      </c>
      <c r="AF28" s="3">
        <f t="shared" si="0"/>
        <v>65</v>
      </c>
      <c r="AG28" s="3">
        <f>IFERROR(INDEX('Data Sheet'!$K$4:$O$8,MATCH(W28,'Data Sheet'!$J$4:$J$8,0),MATCH('Map of Destruction'!AB28,'Data Sheet'!$K$3:$O$3,0)),0)</f>
        <v>60</v>
      </c>
      <c r="AH28" s="68">
        <v>0</v>
      </c>
      <c r="AI28" s="3">
        <f t="shared" si="1"/>
        <v>0</v>
      </c>
      <c r="AJ28" s="3">
        <f t="shared" si="2"/>
        <v>0</v>
      </c>
    </row>
    <row r="29" spans="1:36" x14ac:dyDescent="0.35">
      <c r="V29" s="3">
        <f>V28+1</f>
        <v>18</v>
      </c>
      <c r="W29" s="35" t="s">
        <v>22</v>
      </c>
      <c r="X29" s="35">
        <v>90</v>
      </c>
      <c r="Y29" s="35">
        <v>135</v>
      </c>
      <c r="Z29" s="35">
        <v>750</v>
      </c>
      <c r="AA29" s="35">
        <v>50</v>
      </c>
      <c r="AB29" s="35" t="s">
        <v>18</v>
      </c>
      <c r="AC29" s="35">
        <v>95</v>
      </c>
      <c r="AD29" s="35">
        <v>200</v>
      </c>
      <c r="AE29" s="35">
        <v>150</v>
      </c>
      <c r="AF29" s="3">
        <f t="shared" si="0"/>
        <v>70</v>
      </c>
      <c r="AG29" s="3">
        <f>IFERROR(INDEX('Data Sheet'!$K$4:$O$8,MATCH(W29,'Data Sheet'!$J$4:$J$8,0),MATCH('Map of Destruction'!AB29,'Data Sheet'!$K$3:$O$3,0)),0)</f>
        <v>30</v>
      </c>
      <c r="AH29" s="68">
        <v>8</v>
      </c>
      <c r="AI29" s="3">
        <f t="shared" si="1"/>
        <v>400</v>
      </c>
      <c r="AJ29" s="3">
        <f t="shared" si="2"/>
        <v>16800</v>
      </c>
    </row>
    <row r="30" spans="1:36" x14ac:dyDescent="0.35">
      <c r="V30" s="3">
        <f t="shared" si="3"/>
        <v>19</v>
      </c>
      <c r="W30" s="35" t="s">
        <v>22</v>
      </c>
      <c r="X30" s="35">
        <v>90</v>
      </c>
      <c r="Y30" s="35">
        <v>135</v>
      </c>
      <c r="Z30" s="35">
        <v>750</v>
      </c>
      <c r="AA30" s="35">
        <v>50</v>
      </c>
      <c r="AB30" s="35" t="s">
        <v>19</v>
      </c>
      <c r="AC30" s="35">
        <v>150</v>
      </c>
      <c r="AD30" s="35">
        <v>100</v>
      </c>
      <c r="AE30" s="35">
        <v>175</v>
      </c>
      <c r="AF30" s="3">
        <f t="shared" si="0"/>
        <v>95</v>
      </c>
      <c r="AG30" s="3">
        <f>IFERROR(INDEX('Data Sheet'!$K$4:$O$8,MATCH(W30,'Data Sheet'!$J$4:$J$8,0),MATCH('Map of Destruction'!AB30,'Data Sheet'!$K$3:$O$3,0)),0)</f>
        <v>45</v>
      </c>
      <c r="AH30" s="68">
        <v>7</v>
      </c>
      <c r="AI30" s="3">
        <f t="shared" si="1"/>
        <v>350</v>
      </c>
      <c r="AJ30" s="3">
        <f t="shared" si="2"/>
        <v>29925</v>
      </c>
    </row>
    <row r="31" spans="1:36" x14ac:dyDescent="0.35">
      <c r="V31" s="3">
        <f t="shared" si="3"/>
        <v>20</v>
      </c>
      <c r="W31" s="35" t="s">
        <v>22</v>
      </c>
      <c r="X31" s="35">
        <v>90</v>
      </c>
      <c r="Y31" s="35">
        <v>135</v>
      </c>
      <c r="Z31" s="35">
        <v>750</v>
      </c>
      <c r="AA31" s="35">
        <v>50</v>
      </c>
      <c r="AB31" s="35" t="s">
        <v>24</v>
      </c>
      <c r="AC31" s="35">
        <v>180</v>
      </c>
      <c r="AD31" s="35">
        <v>50</v>
      </c>
      <c r="AE31" s="35">
        <v>130</v>
      </c>
      <c r="AF31" s="3">
        <f t="shared" si="0"/>
        <v>175</v>
      </c>
      <c r="AG31" s="3">
        <f>IFERROR(INDEX('Data Sheet'!$K$4:$O$8,MATCH(W31,'Data Sheet'!$J$4:$J$8,0),MATCH('Map of Destruction'!AB31,'Data Sheet'!$K$3:$O$3,0)),0)</f>
        <v>70</v>
      </c>
      <c r="AH31" s="68">
        <v>0</v>
      </c>
      <c r="AI31" s="3">
        <f t="shared" si="1"/>
        <v>0</v>
      </c>
      <c r="AJ31" s="3">
        <f t="shared" si="2"/>
        <v>0</v>
      </c>
    </row>
    <row r="32" spans="1:36" ht="15" thickBot="1" x14ac:dyDescent="0.4">
      <c r="V32" s="3">
        <f t="shared" si="3"/>
        <v>21</v>
      </c>
      <c r="W32" s="35" t="s">
        <v>13</v>
      </c>
      <c r="X32" s="35">
        <v>120</v>
      </c>
      <c r="Y32" s="35">
        <v>45</v>
      </c>
      <c r="Z32" s="35">
        <v>1500</v>
      </c>
      <c r="AA32" s="35">
        <v>30</v>
      </c>
      <c r="AB32" s="35" t="s">
        <v>11</v>
      </c>
      <c r="AC32" s="35">
        <v>175</v>
      </c>
      <c r="AD32" s="35">
        <v>75</v>
      </c>
      <c r="AE32" s="35">
        <v>200</v>
      </c>
      <c r="AF32" s="3">
        <f t="shared" si="0"/>
        <v>85</v>
      </c>
      <c r="AG32" s="3">
        <f>IFERROR(INDEX('Data Sheet'!$K$4:$O$8,MATCH(W32,'Data Sheet'!$J$4:$J$8,0),MATCH('Map of Destruction'!AB32,'Data Sheet'!$K$3:$O$3,0)),0)</f>
        <v>65</v>
      </c>
      <c r="AH32" s="68">
        <v>0</v>
      </c>
      <c r="AI32" s="3">
        <f t="shared" si="1"/>
        <v>0</v>
      </c>
      <c r="AJ32" s="3">
        <f t="shared" si="2"/>
        <v>0</v>
      </c>
    </row>
    <row r="33" spans="1:36" ht="29.4" customHeight="1" thickBot="1" x14ac:dyDescent="0.4">
      <c r="G33" s="32" t="s">
        <v>4</v>
      </c>
      <c r="H33" s="39" t="s">
        <v>50</v>
      </c>
      <c r="I33" s="41" t="s">
        <v>51</v>
      </c>
      <c r="J33" s="54" t="s">
        <v>52</v>
      </c>
      <c r="K33" s="41" t="s">
        <v>53</v>
      </c>
      <c r="M33" s="60" t="s">
        <v>58</v>
      </c>
      <c r="N33" s="60" t="s">
        <v>59</v>
      </c>
      <c r="V33" s="3">
        <f t="shared" si="3"/>
        <v>22</v>
      </c>
      <c r="W33" s="35" t="s">
        <v>13</v>
      </c>
      <c r="X33" s="35">
        <v>120</v>
      </c>
      <c r="Y33" s="35">
        <v>45</v>
      </c>
      <c r="Z33" s="35">
        <v>1500</v>
      </c>
      <c r="AA33" s="35">
        <v>30</v>
      </c>
      <c r="AB33" s="35" t="s">
        <v>20</v>
      </c>
      <c r="AC33" s="35">
        <v>65</v>
      </c>
      <c r="AD33" s="35">
        <v>175</v>
      </c>
      <c r="AE33" s="35">
        <v>180</v>
      </c>
      <c r="AF33" s="3">
        <f t="shared" si="0"/>
        <v>185</v>
      </c>
      <c r="AG33" s="3">
        <f>IFERROR(INDEX('Data Sheet'!$K$4:$O$8,MATCH(W33,'Data Sheet'!$J$4:$J$8,0),MATCH('Map of Destruction'!AB33,'Data Sheet'!$K$3:$O$3,0)),0)</f>
        <v>20</v>
      </c>
      <c r="AH33" s="68">
        <v>0</v>
      </c>
      <c r="AI33" s="3">
        <f t="shared" si="1"/>
        <v>0</v>
      </c>
      <c r="AJ33" s="3">
        <f t="shared" si="2"/>
        <v>0</v>
      </c>
    </row>
    <row r="34" spans="1:36" x14ac:dyDescent="0.35">
      <c r="G34" s="26" t="s">
        <v>11</v>
      </c>
      <c r="H34" s="50">
        <v>750</v>
      </c>
      <c r="I34" s="49">
        <v>20</v>
      </c>
      <c r="J34" s="69">
        <v>200</v>
      </c>
      <c r="K34" s="49">
        <f>H34+(I34*J34)</f>
        <v>4750</v>
      </c>
      <c r="M34" s="57">
        <v>0.99</v>
      </c>
      <c r="N34" s="69">
        <v>142</v>
      </c>
      <c r="V34" s="3">
        <f>V33+1</f>
        <v>23</v>
      </c>
      <c r="W34" s="35" t="s">
        <v>13</v>
      </c>
      <c r="X34" s="35">
        <v>120</v>
      </c>
      <c r="Y34" s="35">
        <v>45</v>
      </c>
      <c r="Z34" s="35">
        <v>1500</v>
      </c>
      <c r="AA34" s="35">
        <v>30</v>
      </c>
      <c r="AB34" s="35" t="s">
        <v>18</v>
      </c>
      <c r="AC34" s="35">
        <v>95</v>
      </c>
      <c r="AD34" s="35">
        <v>200</v>
      </c>
      <c r="AE34" s="35">
        <v>150</v>
      </c>
      <c r="AF34" s="3">
        <f t="shared" si="0"/>
        <v>180</v>
      </c>
      <c r="AG34" s="3">
        <f>IFERROR(INDEX('Data Sheet'!$K$4:$O$8,MATCH(W34,'Data Sheet'!$J$4:$J$8,0),MATCH('Map of Destruction'!AB34,'Data Sheet'!$K$3:$O$3,0)),0)</f>
        <v>70</v>
      </c>
      <c r="AH34" s="68">
        <v>0</v>
      </c>
      <c r="AI34" s="3">
        <f t="shared" si="1"/>
        <v>0</v>
      </c>
      <c r="AJ34" s="3">
        <f t="shared" si="2"/>
        <v>0</v>
      </c>
    </row>
    <row r="35" spans="1:36" x14ac:dyDescent="0.35">
      <c r="G35" s="26" t="s">
        <v>18</v>
      </c>
      <c r="H35" s="51">
        <v>800</v>
      </c>
      <c r="I35" s="42">
        <v>15</v>
      </c>
      <c r="J35" s="70">
        <v>150</v>
      </c>
      <c r="K35" s="42">
        <f t="shared" ref="K35:K38" si="4">H35+(I35*J35)</f>
        <v>3050</v>
      </c>
      <c r="M35" s="58">
        <v>0.95</v>
      </c>
      <c r="N35" s="70">
        <v>476</v>
      </c>
      <c r="V35" s="3">
        <f t="shared" si="3"/>
        <v>24</v>
      </c>
      <c r="W35" s="35" t="s">
        <v>13</v>
      </c>
      <c r="X35" s="35">
        <v>120</v>
      </c>
      <c r="Y35" s="35">
        <v>45</v>
      </c>
      <c r="Z35" s="35">
        <v>1500</v>
      </c>
      <c r="AA35" s="35">
        <v>30</v>
      </c>
      <c r="AB35" s="35" t="s">
        <v>19</v>
      </c>
      <c r="AC35" s="35">
        <v>150</v>
      </c>
      <c r="AD35" s="35">
        <v>100</v>
      </c>
      <c r="AE35" s="35">
        <v>175</v>
      </c>
      <c r="AF35" s="3">
        <f t="shared" si="0"/>
        <v>85</v>
      </c>
      <c r="AG35" s="3">
        <f>IFERROR(INDEX('Data Sheet'!$K$4:$O$8,MATCH(W35,'Data Sheet'!$J$4:$J$8,0),MATCH('Map of Destruction'!AB35,'Data Sheet'!$K$3:$O$3,0)),0)</f>
        <v>55</v>
      </c>
      <c r="AH35" s="68">
        <v>22</v>
      </c>
      <c r="AI35" s="3">
        <f t="shared" si="1"/>
        <v>660</v>
      </c>
      <c r="AJ35" s="3">
        <f t="shared" si="2"/>
        <v>102850</v>
      </c>
    </row>
    <row r="36" spans="1:36" ht="15" thickBot="1" x14ac:dyDescent="0.4">
      <c r="G36" s="26" t="s">
        <v>19</v>
      </c>
      <c r="H36" s="51">
        <v>1000</v>
      </c>
      <c r="I36" s="42">
        <v>12</v>
      </c>
      <c r="J36" s="70">
        <v>175</v>
      </c>
      <c r="K36" s="42">
        <f t="shared" si="4"/>
        <v>3100</v>
      </c>
      <c r="M36" s="59">
        <v>0.9</v>
      </c>
      <c r="N36" s="71">
        <v>217</v>
      </c>
      <c r="V36" s="3">
        <f t="shared" si="3"/>
        <v>25</v>
      </c>
      <c r="W36" s="35" t="s">
        <v>13</v>
      </c>
      <c r="X36" s="35">
        <v>120</v>
      </c>
      <c r="Y36" s="35">
        <v>45</v>
      </c>
      <c r="Z36" s="35">
        <v>1500</v>
      </c>
      <c r="AA36" s="35">
        <v>30</v>
      </c>
      <c r="AB36" s="35" t="s">
        <v>24</v>
      </c>
      <c r="AC36" s="35">
        <v>180</v>
      </c>
      <c r="AD36" s="35">
        <v>50</v>
      </c>
      <c r="AE36" s="35">
        <v>130</v>
      </c>
      <c r="AF36" s="3">
        <f t="shared" si="0"/>
        <v>65</v>
      </c>
      <c r="AG36" s="3">
        <f>IFERROR(INDEX('Data Sheet'!$K$4:$O$8,MATCH(W36,'Data Sheet'!$J$4:$J$8,0),MATCH('Map of Destruction'!AB36,'Data Sheet'!$K$3:$O$3,0)),0)</f>
        <v>80</v>
      </c>
      <c r="AH36" s="68">
        <v>28</v>
      </c>
      <c r="AI36" s="3">
        <f t="shared" si="1"/>
        <v>840</v>
      </c>
      <c r="AJ36" s="3">
        <f t="shared" si="2"/>
        <v>145600</v>
      </c>
    </row>
    <row r="37" spans="1:36" ht="15" thickBot="1" x14ac:dyDescent="0.4">
      <c r="G37" s="26" t="s">
        <v>20</v>
      </c>
      <c r="H37" s="51">
        <v>650</v>
      </c>
      <c r="I37" s="42">
        <v>22</v>
      </c>
      <c r="J37" s="70">
        <v>180</v>
      </c>
      <c r="K37" s="42">
        <f t="shared" si="4"/>
        <v>4610</v>
      </c>
      <c r="M37" s="55" t="s">
        <v>41</v>
      </c>
      <c r="N37" s="76">
        <f>SUM($N$34:$N$36)</f>
        <v>835</v>
      </c>
      <c r="R37" s="24"/>
      <c r="V37" s="3"/>
      <c r="W37" s="3"/>
      <c r="X37" s="3"/>
      <c r="Y37" s="3"/>
      <c r="Z37" s="3"/>
      <c r="AA37" s="3"/>
      <c r="AB37" s="3"/>
      <c r="AC37" s="3"/>
      <c r="AD37" s="3"/>
      <c r="AF37" s="3"/>
      <c r="AH37" s="3" t="s">
        <v>41</v>
      </c>
      <c r="AI37" s="78">
        <f>SUM($AH$12:$AH$36)</f>
        <v>125</v>
      </c>
      <c r="AJ37" s="78">
        <f>SUM($AJ$12:$AJ$36)</f>
        <v>500975</v>
      </c>
    </row>
    <row r="38" spans="1:36" ht="15" thickBot="1" x14ac:dyDescent="0.4">
      <c r="G38" s="28" t="s">
        <v>24</v>
      </c>
      <c r="H38" s="52">
        <v>700</v>
      </c>
      <c r="I38" s="43">
        <v>21</v>
      </c>
      <c r="J38" s="71">
        <v>130</v>
      </c>
      <c r="K38" s="43">
        <f t="shared" si="4"/>
        <v>3430</v>
      </c>
      <c r="V38" s="3"/>
      <c r="W38" s="11"/>
      <c r="X38" s="11"/>
      <c r="Y38" s="11"/>
      <c r="Z38" s="11"/>
      <c r="AA38" s="11"/>
      <c r="AB38" s="11"/>
      <c r="AC38" s="11"/>
      <c r="AD38" s="11"/>
      <c r="AE38" s="11"/>
      <c r="AF38" s="3"/>
      <c r="AG38" s="3"/>
      <c r="AH38" s="3"/>
      <c r="AI38" s="3"/>
      <c r="AJ38" s="3"/>
    </row>
    <row r="39" spans="1:36" ht="29.5" thickBot="1" x14ac:dyDescent="0.4">
      <c r="I39" s="47"/>
      <c r="J39" s="53" t="s">
        <v>54</v>
      </c>
      <c r="K39" s="75">
        <f>SUM(K34:K38)</f>
        <v>18940</v>
      </c>
      <c r="V39" s="33" t="s">
        <v>10</v>
      </c>
      <c r="W39" s="114" t="s">
        <v>4</v>
      </c>
      <c r="X39" s="115"/>
      <c r="Y39" s="115"/>
      <c r="Z39" s="116"/>
      <c r="AA39" s="114" t="s">
        <v>3</v>
      </c>
      <c r="AB39" s="115"/>
      <c r="AC39" s="115"/>
      <c r="AD39" s="115"/>
      <c r="AE39" s="116"/>
      <c r="AF39" s="9" t="s">
        <v>5</v>
      </c>
      <c r="AG39" s="6" t="s">
        <v>8</v>
      </c>
      <c r="AH39" s="6" t="s">
        <v>28</v>
      </c>
      <c r="AI39" s="110" t="s">
        <v>44</v>
      </c>
      <c r="AJ39" s="6" t="s">
        <v>9</v>
      </c>
    </row>
    <row r="40" spans="1:36" ht="15" thickBot="1" x14ac:dyDescent="0.4">
      <c r="V40" s="8"/>
      <c r="W40" s="19" t="s">
        <v>7</v>
      </c>
      <c r="X40" s="19" t="s">
        <v>0</v>
      </c>
      <c r="Y40" s="19" t="s">
        <v>1</v>
      </c>
      <c r="Z40" s="19" t="s">
        <v>29</v>
      </c>
      <c r="AA40" s="19" t="s">
        <v>7</v>
      </c>
      <c r="AB40" s="19" t="s">
        <v>0</v>
      </c>
      <c r="AC40" s="19" t="s">
        <v>1</v>
      </c>
      <c r="AD40" s="19" t="s">
        <v>29</v>
      </c>
      <c r="AE40" s="19" t="s">
        <v>30</v>
      </c>
      <c r="AF40" s="8"/>
      <c r="AG40" s="7"/>
      <c r="AH40" s="7"/>
      <c r="AI40" s="111"/>
      <c r="AJ40" s="7"/>
    </row>
    <row r="41" spans="1:36" ht="15" thickBot="1" x14ac:dyDescent="0.4">
      <c r="B41" s="108" t="s">
        <v>37</v>
      </c>
      <c r="C41" s="117"/>
      <c r="D41" s="109"/>
      <c r="E41" s="108" t="s">
        <v>60</v>
      </c>
      <c r="F41" s="117"/>
      <c r="G41" s="109"/>
      <c r="V41" s="3">
        <v>1</v>
      </c>
      <c r="W41" s="35" t="s">
        <v>11</v>
      </c>
      <c r="X41" s="35">
        <v>175</v>
      </c>
      <c r="Y41" s="35">
        <v>75</v>
      </c>
      <c r="Z41" s="35">
        <v>200</v>
      </c>
      <c r="AA41" s="35" t="s">
        <v>16</v>
      </c>
      <c r="AB41" s="35">
        <v>85</v>
      </c>
      <c r="AC41" s="35">
        <v>60</v>
      </c>
      <c r="AD41" s="35">
        <v>150</v>
      </c>
      <c r="AE41" s="35">
        <v>30</v>
      </c>
      <c r="AF41" s="3">
        <f t="shared" ref="AF41:AF66" si="5">ABS(X41-AB41)+ABS(Y41-AC41)</f>
        <v>105</v>
      </c>
      <c r="AG41" s="3">
        <f>IFERROR(INDEX('Data Sheet'!$K$11:$O$15,MATCH(W41,'Data Sheet'!$K$10:$O$10,0),MATCH('Map of Destruction'!AA41,'Data Sheet'!$J$11:$J$15,0)),0)</f>
        <v>65</v>
      </c>
      <c r="AH41" s="68">
        <v>0</v>
      </c>
      <c r="AI41" s="3">
        <f>AE41*AH41</f>
        <v>0</v>
      </c>
      <c r="AJ41" s="3">
        <f>AF41*AG41*AH41</f>
        <v>0</v>
      </c>
    </row>
    <row r="42" spans="1:36" ht="15" thickBot="1" x14ac:dyDescent="0.4">
      <c r="A42" s="29" t="s">
        <v>36</v>
      </c>
      <c r="B42" s="44">
        <v>0.99</v>
      </c>
      <c r="C42" s="45">
        <v>0.95</v>
      </c>
      <c r="D42" s="46">
        <v>0.9</v>
      </c>
      <c r="E42" s="44">
        <v>0.99</v>
      </c>
      <c r="F42" s="45">
        <v>0.95</v>
      </c>
      <c r="G42" s="46">
        <v>0.9</v>
      </c>
      <c r="V42" s="3">
        <f>V41+1</f>
        <v>2</v>
      </c>
      <c r="W42" s="35" t="s">
        <v>11</v>
      </c>
      <c r="X42" s="35">
        <v>175</v>
      </c>
      <c r="Y42" s="35">
        <v>75</v>
      </c>
      <c r="Z42" s="35">
        <v>200</v>
      </c>
      <c r="AA42" s="35" t="s">
        <v>12</v>
      </c>
      <c r="AB42" s="35">
        <v>45</v>
      </c>
      <c r="AC42" s="35">
        <v>120</v>
      </c>
      <c r="AD42" s="35">
        <v>100</v>
      </c>
      <c r="AE42" s="35">
        <v>25</v>
      </c>
      <c r="AF42" s="3">
        <f t="shared" si="5"/>
        <v>175</v>
      </c>
      <c r="AG42" s="3">
        <f>IFERROR(INDEX('Data Sheet'!$K$11:$O$15,MATCH(W42,'Data Sheet'!$K$10:$O$10,0),MATCH('Map of Destruction'!AA42,'Data Sheet'!$J$11:$J$15,0)),0)</f>
        <v>30</v>
      </c>
      <c r="AH42" s="68">
        <v>0</v>
      </c>
      <c r="AI42" s="3">
        <f t="shared" ref="AI42:AI66" si="6">AE42*AH42</f>
        <v>0</v>
      </c>
      <c r="AJ42" s="3">
        <f t="shared" ref="AJ42:AJ66" si="7">AF42*AG42*AH42</f>
        <v>0</v>
      </c>
    </row>
    <row r="43" spans="1:36" x14ac:dyDescent="0.35">
      <c r="A43" s="30" t="s">
        <v>49</v>
      </c>
      <c r="B43" s="50">
        <v>10</v>
      </c>
      <c r="C43" s="50">
        <v>8</v>
      </c>
      <c r="D43" s="42">
        <v>7</v>
      </c>
      <c r="E43" s="69">
        <v>1420</v>
      </c>
      <c r="F43" s="69">
        <v>3808</v>
      </c>
      <c r="G43" s="69">
        <v>1519</v>
      </c>
      <c r="V43" s="3">
        <f t="shared" ref="V43:V66" si="8">V42+1</f>
        <v>3</v>
      </c>
      <c r="W43" s="35" t="s">
        <v>11</v>
      </c>
      <c r="X43" s="35">
        <v>175</v>
      </c>
      <c r="Y43" s="35">
        <v>75</v>
      </c>
      <c r="Z43" s="35">
        <v>200</v>
      </c>
      <c r="AA43" s="35" t="s">
        <v>23</v>
      </c>
      <c r="AB43" s="35">
        <v>130</v>
      </c>
      <c r="AC43" s="35">
        <v>190</v>
      </c>
      <c r="AD43" s="35">
        <v>300</v>
      </c>
      <c r="AE43" s="35">
        <v>20</v>
      </c>
      <c r="AF43" s="3">
        <f t="shared" si="5"/>
        <v>160</v>
      </c>
      <c r="AG43" s="3">
        <f>IFERROR(INDEX('Data Sheet'!$K$11:$O$15,MATCH(W43,'Data Sheet'!$K$10:$O$10,0),MATCH('Map of Destruction'!AA43,'Data Sheet'!$J$11:$J$15,0)),0)</f>
        <v>20</v>
      </c>
      <c r="AH43" s="68">
        <v>10</v>
      </c>
      <c r="AI43" s="3">
        <f t="shared" si="6"/>
        <v>200</v>
      </c>
      <c r="AJ43" s="3">
        <f t="shared" si="7"/>
        <v>32000</v>
      </c>
    </row>
    <row r="44" spans="1:36" x14ac:dyDescent="0.35">
      <c r="A44" s="30" t="s">
        <v>48</v>
      </c>
      <c r="B44" s="51">
        <v>6</v>
      </c>
      <c r="C44" s="51">
        <v>6</v>
      </c>
      <c r="D44" s="42">
        <v>5</v>
      </c>
      <c r="E44" s="70">
        <v>852</v>
      </c>
      <c r="F44" s="70">
        <v>2856</v>
      </c>
      <c r="G44" s="70">
        <v>1085</v>
      </c>
      <c r="V44" s="3">
        <f t="shared" si="8"/>
        <v>4</v>
      </c>
      <c r="W44" s="35" t="s">
        <v>11</v>
      </c>
      <c r="X44" s="35">
        <v>175</v>
      </c>
      <c r="Y44" s="35">
        <v>75</v>
      </c>
      <c r="Z44" s="35">
        <v>200</v>
      </c>
      <c r="AA44" s="35" t="s">
        <v>14</v>
      </c>
      <c r="AB44" s="35">
        <v>25</v>
      </c>
      <c r="AC44" s="35">
        <v>85</v>
      </c>
      <c r="AD44" s="35">
        <v>150</v>
      </c>
      <c r="AE44" s="35">
        <v>15</v>
      </c>
      <c r="AF44" s="3">
        <f t="shared" si="5"/>
        <v>160</v>
      </c>
      <c r="AG44" s="3">
        <f>IFERROR(INDEX('Data Sheet'!$K$11:$O$15,MATCH(W44,'Data Sheet'!$K$10:$O$10,0),MATCH('Map of Destruction'!AA44,'Data Sheet'!$J$11:$J$15,0)),0)</f>
        <v>55</v>
      </c>
      <c r="AH44" s="68">
        <v>0</v>
      </c>
      <c r="AI44" s="3">
        <f t="shared" si="6"/>
        <v>0</v>
      </c>
      <c r="AJ44" s="3">
        <f t="shared" si="7"/>
        <v>0</v>
      </c>
    </row>
    <row r="45" spans="1:36" x14ac:dyDescent="0.35">
      <c r="A45" s="30" t="s">
        <v>47</v>
      </c>
      <c r="B45" s="51">
        <v>8</v>
      </c>
      <c r="C45" s="51">
        <v>8</v>
      </c>
      <c r="D45" s="42">
        <v>8</v>
      </c>
      <c r="E45" s="70">
        <v>1136</v>
      </c>
      <c r="F45" s="70">
        <v>3808</v>
      </c>
      <c r="G45" s="70">
        <v>1736</v>
      </c>
      <c r="V45" s="3">
        <f t="shared" si="8"/>
        <v>5</v>
      </c>
      <c r="W45" s="35" t="s">
        <v>11</v>
      </c>
      <c r="X45" s="35">
        <v>175</v>
      </c>
      <c r="Y45" s="35">
        <v>75</v>
      </c>
      <c r="Z45" s="35">
        <v>200</v>
      </c>
      <c r="AA45" s="35" t="s">
        <v>15</v>
      </c>
      <c r="AB45" s="35">
        <v>40</v>
      </c>
      <c r="AC45" s="35">
        <v>155</v>
      </c>
      <c r="AD45" s="35">
        <v>250</v>
      </c>
      <c r="AE45" s="35">
        <v>25</v>
      </c>
      <c r="AF45" s="3">
        <f t="shared" si="5"/>
        <v>215</v>
      </c>
      <c r="AG45" s="3">
        <f>IFERROR(INDEX('Data Sheet'!$K$11:$O$15,MATCH(W45,'Data Sheet'!$K$10:$O$10,0),MATCH('Map of Destruction'!AA45,'Data Sheet'!$J$11:$J$15,0)),0)</f>
        <v>80</v>
      </c>
      <c r="AH45" s="68">
        <v>0</v>
      </c>
      <c r="AI45" s="3">
        <f t="shared" si="6"/>
        <v>0</v>
      </c>
      <c r="AJ45" s="3">
        <f t="shared" si="7"/>
        <v>0</v>
      </c>
    </row>
    <row r="46" spans="1:36" x14ac:dyDescent="0.35">
      <c r="A46" s="30" t="s">
        <v>46</v>
      </c>
      <c r="B46" s="51">
        <v>5</v>
      </c>
      <c r="C46" s="51">
        <v>4</v>
      </c>
      <c r="D46" s="42">
        <v>2</v>
      </c>
      <c r="E46" s="70">
        <v>710</v>
      </c>
      <c r="F46" s="70">
        <v>1904</v>
      </c>
      <c r="G46" s="70">
        <v>434</v>
      </c>
      <c r="V46" s="3">
        <f t="shared" si="8"/>
        <v>6</v>
      </c>
      <c r="W46" s="35" t="s">
        <v>20</v>
      </c>
      <c r="X46" s="35">
        <v>65</v>
      </c>
      <c r="Y46" s="35">
        <v>175</v>
      </c>
      <c r="Z46" s="35">
        <v>180</v>
      </c>
      <c r="AA46" s="35" t="s">
        <v>16</v>
      </c>
      <c r="AB46" s="35">
        <v>85</v>
      </c>
      <c r="AC46" s="35">
        <v>60</v>
      </c>
      <c r="AD46" s="35">
        <v>150</v>
      </c>
      <c r="AE46" s="35">
        <v>30</v>
      </c>
      <c r="AF46" s="3">
        <f t="shared" si="5"/>
        <v>135</v>
      </c>
      <c r="AG46" s="3">
        <f>IFERROR(INDEX('Data Sheet'!$K$11:$O$15,MATCH(W46,'Data Sheet'!$K$10:$O$10,0),MATCH('Map of Destruction'!AA46,'Data Sheet'!$J$11:$J$15,0)),0)</f>
        <v>55</v>
      </c>
      <c r="AH46" s="68">
        <v>1</v>
      </c>
      <c r="AI46" s="3">
        <f t="shared" si="6"/>
        <v>30</v>
      </c>
      <c r="AJ46" s="3">
        <f t="shared" si="7"/>
        <v>7425</v>
      </c>
    </row>
    <row r="47" spans="1:36" ht="15" thickBot="1" x14ac:dyDescent="0.4">
      <c r="A47" s="31" t="s">
        <v>45</v>
      </c>
      <c r="B47" s="52">
        <v>7</v>
      </c>
      <c r="C47" s="52">
        <v>5</v>
      </c>
      <c r="D47" s="43">
        <v>4</v>
      </c>
      <c r="E47" s="71">
        <v>994</v>
      </c>
      <c r="F47" s="71">
        <v>2380</v>
      </c>
      <c r="G47" s="71">
        <v>868</v>
      </c>
      <c r="V47" s="3">
        <f t="shared" si="8"/>
        <v>7</v>
      </c>
      <c r="W47" s="35" t="s">
        <v>20</v>
      </c>
      <c r="X47" s="35">
        <v>65</v>
      </c>
      <c r="Y47" s="35">
        <v>175</v>
      </c>
      <c r="Z47" s="35">
        <v>180</v>
      </c>
      <c r="AA47" s="35" t="s">
        <v>12</v>
      </c>
      <c r="AB47" s="35">
        <v>45</v>
      </c>
      <c r="AC47" s="37">
        <v>120</v>
      </c>
      <c r="AD47" s="35">
        <v>100</v>
      </c>
      <c r="AE47" s="35">
        <v>25</v>
      </c>
      <c r="AF47" s="3">
        <f t="shared" si="5"/>
        <v>75</v>
      </c>
      <c r="AG47" s="3">
        <f>IFERROR(INDEX('Data Sheet'!$K$11:$O$15,MATCH(W47,'Data Sheet'!$K$10:$O$10,0),MATCH('Map of Destruction'!AA47,'Data Sheet'!$J$11:$J$15,0)),0)</f>
        <v>40</v>
      </c>
      <c r="AH47" s="68">
        <v>3</v>
      </c>
      <c r="AI47" s="3">
        <f t="shared" si="6"/>
        <v>75</v>
      </c>
      <c r="AJ47" s="3">
        <f t="shared" si="7"/>
        <v>9000</v>
      </c>
    </row>
    <row r="48" spans="1:36" ht="15" thickBot="1" x14ac:dyDescent="0.4">
      <c r="C48" s="47"/>
      <c r="D48" s="66" t="s">
        <v>41</v>
      </c>
      <c r="E48" s="76">
        <f>SUM($E$43:$E$47)</f>
        <v>5112</v>
      </c>
      <c r="F48" s="76">
        <f>SUM($F$43:$F$47)</f>
        <v>14756</v>
      </c>
      <c r="G48" s="77">
        <f>SUM($G$43:$G$47)</f>
        <v>5642</v>
      </c>
      <c r="V48" s="3">
        <f t="shared" si="8"/>
        <v>8</v>
      </c>
      <c r="W48" s="35" t="s">
        <v>20</v>
      </c>
      <c r="X48" s="35">
        <v>65</v>
      </c>
      <c r="Y48" s="35">
        <v>175</v>
      </c>
      <c r="Z48" s="35">
        <v>180</v>
      </c>
      <c r="AA48" s="35" t="s">
        <v>23</v>
      </c>
      <c r="AB48" s="35">
        <v>130</v>
      </c>
      <c r="AC48" s="37">
        <v>190</v>
      </c>
      <c r="AD48" s="35">
        <v>300</v>
      </c>
      <c r="AE48" s="35">
        <v>20</v>
      </c>
      <c r="AF48" s="3">
        <f t="shared" si="5"/>
        <v>80</v>
      </c>
      <c r="AG48" s="3">
        <f>IFERROR(INDEX('Data Sheet'!$K$11:$O$15,MATCH(W48,'Data Sheet'!$K$10:$O$10,0),MATCH('Map of Destruction'!AA48,'Data Sheet'!$J$11:$J$15,0)),0)</f>
        <v>70</v>
      </c>
      <c r="AH48" s="68">
        <v>0</v>
      </c>
      <c r="AI48" s="3">
        <f t="shared" si="6"/>
        <v>0</v>
      </c>
      <c r="AJ48" s="3">
        <f t="shared" si="7"/>
        <v>0</v>
      </c>
    </row>
    <row r="49" spans="1:36" ht="15" thickBot="1" x14ac:dyDescent="0.4">
      <c r="E49" s="81" t="str">
        <f>IF(AND(E43/B43=E44/B44,E44/B44=E45/B45,E45/B45=E46/B46,E46/B46=E47/B47),"OK","Invalid Combination")</f>
        <v>OK</v>
      </c>
      <c r="F49" s="82" t="str">
        <f t="shared" ref="F49:G49" si="9">IF(AND(F43/C43=F44/C44,F44/C44=F45/C45,F45/C45=F46/C46,F46/C46=F47/C47),"OK","Invalid Combination")</f>
        <v>OK</v>
      </c>
      <c r="G49" s="56" t="str">
        <f t="shared" si="9"/>
        <v>OK</v>
      </c>
      <c r="V49" s="3">
        <f t="shared" si="8"/>
        <v>9</v>
      </c>
      <c r="W49" s="35" t="s">
        <v>20</v>
      </c>
      <c r="X49" s="35">
        <v>65</v>
      </c>
      <c r="Y49" s="35">
        <v>175</v>
      </c>
      <c r="Z49" s="35">
        <v>180</v>
      </c>
      <c r="AA49" s="35" t="s">
        <v>14</v>
      </c>
      <c r="AB49" s="35">
        <v>25</v>
      </c>
      <c r="AC49" s="37">
        <v>85</v>
      </c>
      <c r="AD49" s="35">
        <v>150</v>
      </c>
      <c r="AE49" s="35">
        <v>15</v>
      </c>
      <c r="AF49" s="3">
        <f t="shared" si="5"/>
        <v>130</v>
      </c>
      <c r="AG49" s="3">
        <f>IFERROR(INDEX('Data Sheet'!$K$11:$O$15,MATCH(W49,'Data Sheet'!$K$10:$O$10,0),MATCH('Map of Destruction'!AA49,'Data Sheet'!$J$11:$J$15,0)),0)</f>
        <v>50</v>
      </c>
      <c r="AH49" s="68">
        <v>0</v>
      </c>
      <c r="AI49" s="3">
        <f t="shared" si="6"/>
        <v>0</v>
      </c>
      <c r="AJ49" s="3">
        <f t="shared" si="7"/>
        <v>0</v>
      </c>
    </row>
    <row r="50" spans="1:36" ht="15" thickBot="1" x14ac:dyDescent="0.4">
      <c r="V50" s="3">
        <f t="shared" si="8"/>
        <v>10</v>
      </c>
      <c r="W50" s="35" t="s">
        <v>20</v>
      </c>
      <c r="X50" s="35">
        <v>65</v>
      </c>
      <c r="Y50" s="35">
        <v>175</v>
      </c>
      <c r="Z50" s="35">
        <v>180</v>
      </c>
      <c r="AA50" s="35" t="s">
        <v>15</v>
      </c>
      <c r="AB50" s="35">
        <v>40</v>
      </c>
      <c r="AC50" s="37">
        <v>155</v>
      </c>
      <c r="AD50" s="35">
        <v>250</v>
      </c>
      <c r="AE50" s="35">
        <v>25</v>
      </c>
      <c r="AF50" s="3">
        <f t="shared" si="5"/>
        <v>45</v>
      </c>
      <c r="AG50" s="3">
        <f>IFERROR(INDEX('Data Sheet'!$K$11:$O$15,MATCH(W50,'Data Sheet'!$K$10:$O$10,0),MATCH('Map of Destruction'!AA50,'Data Sheet'!$J$11:$J$15,0)),0)</f>
        <v>65</v>
      </c>
      <c r="AH50" s="68">
        <v>3</v>
      </c>
      <c r="AI50" s="3">
        <f t="shared" si="6"/>
        <v>75</v>
      </c>
      <c r="AJ50" s="3">
        <f t="shared" si="7"/>
        <v>8775</v>
      </c>
    </row>
    <row r="51" spans="1:36" ht="15" thickBot="1" x14ac:dyDescent="0.4">
      <c r="B51" s="32" t="s">
        <v>38</v>
      </c>
      <c r="C51" s="61"/>
      <c r="D51" s="61"/>
      <c r="E51" s="61"/>
      <c r="F51" s="62"/>
      <c r="G51" s="63" t="s">
        <v>57</v>
      </c>
      <c r="H51" s="64"/>
      <c r="I51" s="64"/>
      <c r="J51" s="64"/>
      <c r="K51" s="65"/>
      <c r="V51" s="3">
        <f t="shared" si="8"/>
        <v>11</v>
      </c>
      <c r="W51" s="35" t="s">
        <v>18</v>
      </c>
      <c r="X51" s="35">
        <v>95</v>
      </c>
      <c r="Y51" s="35">
        <v>200</v>
      </c>
      <c r="Z51" s="35">
        <v>150</v>
      </c>
      <c r="AA51" s="35" t="s">
        <v>16</v>
      </c>
      <c r="AB51" s="35">
        <v>85</v>
      </c>
      <c r="AC51" s="37">
        <v>60</v>
      </c>
      <c r="AD51" s="35">
        <v>150</v>
      </c>
      <c r="AE51" s="35">
        <v>30</v>
      </c>
      <c r="AF51" s="3">
        <f t="shared" si="5"/>
        <v>150</v>
      </c>
      <c r="AG51" s="3">
        <f>IFERROR(INDEX('Data Sheet'!$K$11:$O$15,MATCH(W51,'Data Sheet'!$K$10:$O$10,0),MATCH('Map of Destruction'!AA51,'Data Sheet'!$J$11:$J$15,0)),0)</f>
        <v>35</v>
      </c>
      <c r="AH51" s="68">
        <v>1</v>
      </c>
      <c r="AI51" s="3">
        <f t="shared" si="6"/>
        <v>30</v>
      </c>
      <c r="AJ51" s="3">
        <f t="shared" si="7"/>
        <v>5250</v>
      </c>
    </row>
    <row r="52" spans="1:36" ht="15" thickBot="1" x14ac:dyDescent="0.4">
      <c r="A52" s="29" t="s">
        <v>36</v>
      </c>
      <c r="B52" s="39" t="s">
        <v>6</v>
      </c>
      <c r="C52" s="40" t="s">
        <v>13</v>
      </c>
      <c r="D52" s="40" t="s">
        <v>21</v>
      </c>
      <c r="E52" s="40" t="s">
        <v>22</v>
      </c>
      <c r="F52" s="41" t="s">
        <v>17</v>
      </c>
      <c r="G52" s="39" t="s">
        <v>6</v>
      </c>
      <c r="H52" s="40" t="s">
        <v>13</v>
      </c>
      <c r="I52" s="40" t="s">
        <v>21</v>
      </c>
      <c r="J52" s="40" t="s">
        <v>22</v>
      </c>
      <c r="K52" s="41" t="s">
        <v>17</v>
      </c>
      <c r="V52" s="3">
        <f t="shared" si="8"/>
        <v>12</v>
      </c>
      <c r="W52" s="35" t="s">
        <v>18</v>
      </c>
      <c r="X52" s="35">
        <v>95</v>
      </c>
      <c r="Y52" s="35">
        <v>200</v>
      </c>
      <c r="Z52" s="35">
        <v>150</v>
      </c>
      <c r="AA52" s="35" t="s">
        <v>12</v>
      </c>
      <c r="AB52" s="35">
        <v>45</v>
      </c>
      <c r="AC52" s="37">
        <v>120</v>
      </c>
      <c r="AD52" s="35">
        <v>100</v>
      </c>
      <c r="AE52" s="35">
        <v>25</v>
      </c>
      <c r="AF52" s="3">
        <f t="shared" si="5"/>
        <v>130</v>
      </c>
      <c r="AG52" s="3">
        <f>IFERROR(INDEX('Data Sheet'!$K$11:$O$15,MATCH(W52,'Data Sheet'!$K$10:$O$10,0),MATCH('Map of Destruction'!AA52,'Data Sheet'!$J$11:$J$15,0)),0)</f>
        <v>75</v>
      </c>
      <c r="AH52" s="68">
        <v>0</v>
      </c>
      <c r="AI52" s="3">
        <f t="shared" si="6"/>
        <v>0</v>
      </c>
      <c r="AJ52" s="3">
        <f t="shared" si="7"/>
        <v>0</v>
      </c>
    </row>
    <row r="53" spans="1:36" x14ac:dyDescent="0.35">
      <c r="A53" s="30" t="s">
        <v>49</v>
      </c>
      <c r="B53" s="50">
        <v>50</v>
      </c>
      <c r="C53" s="50">
        <v>45</v>
      </c>
      <c r="D53" s="50">
        <v>35</v>
      </c>
      <c r="E53" s="50">
        <v>40</v>
      </c>
      <c r="F53" s="42">
        <v>50</v>
      </c>
      <c r="G53" s="69">
        <v>1000</v>
      </c>
      <c r="H53" s="69">
        <v>1497</v>
      </c>
      <c r="I53" s="69">
        <v>2000</v>
      </c>
      <c r="J53" s="69">
        <v>750</v>
      </c>
      <c r="K53" s="72">
        <v>1500</v>
      </c>
      <c r="V53" s="3">
        <f t="shared" si="8"/>
        <v>13</v>
      </c>
      <c r="W53" s="35" t="s">
        <v>18</v>
      </c>
      <c r="X53" s="35">
        <v>95</v>
      </c>
      <c r="Y53" s="35">
        <v>200</v>
      </c>
      <c r="Z53" s="35">
        <v>150</v>
      </c>
      <c r="AA53" s="35" t="s">
        <v>23</v>
      </c>
      <c r="AB53" s="35">
        <v>130</v>
      </c>
      <c r="AC53" s="37">
        <v>190</v>
      </c>
      <c r="AD53" s="35">
        <v>300</v>
      </c>
      <c r="AE53" s="35">
        <v>20</v>
      </c>
      <c r="AF53" s="3">
        <f t="shared" si="5"/>
        <v>45</v>
      </c>
      <c r="AG53" s="3">
        <f>IFERROR(INDEX('Data Sheet'!$K$11:$O$15,MATCH(W53,'Data Sheet'!$K$10:$O$10,0),MATCH('Map of Destruction'!AA53,'Data Sheet'!$J$11:$J$15,0)),0)</f>
        <v>60</v>
      </c>
      <c r="AH53" s="68">
        <v>3</v>
      </c>
      <c r="AI53" s="3">
        <f t="shared" si="6"/>
        <v>60</v>
      </c>
      <c r="AJ53" s="3">
        <f t="shared" si="7"/>
        <v>8100</v>
      </c>
    </row>
    <row r="54" spans="1:36" x14ac:dyDescent="0.35">
      <c r="A54" s="30" t="s">
        <v>48</v>
      </c>
      <c r="B54" s="51">
        <v>150</v>
      </c>
      <c r="C54" s="51">
        <v>120</v>
      </c>
      <c r="D54" s="51">
        <v>135</v>
      </c>
      <c r="E54" s="51">
        <v>140</v>
      </c>
      <c r="F54" s="42">
        <v>130</v>
      </c>
      <c r="G54" s="70">
        <v>180</v>
      </c>
      <c r="H54" s="70">
        <v>1440</v>
      </c>
      <c r="I54" s="70">
        <v>1973</v>
      </c>
      <c r="J54" s="70">
        <v>0</v>
      </c>
      <c r="K54" s="73">
        <v>1200</v>
      </c>
      <c r="V54" s="3">
        <f t="shared" si="8"/>
        <v>14</v>
      </c>
      <c r="W54" s="35" t="s">
        <v>18</v>
      </c>
      <c r="X54" s="35">
        <v>95</v>
      </c>
      <c r="Y54" s="35">
        <v>200</v>
      </c>
      <c r="Z54" s="35">
        <v>150</v>
      </c>
      <c r="AA54" s="35" t="s">
        <v>14</v>
      </c>
      <c r="AB54" s="35">
        <v>25</v>
      </c>
      <c r="AC54" s="37">
        <v>85</v>
      </c>
      <c r="AD54" s="35">
        <v>150</v>
      </c>
      <c r="AE54" s="35">
        <v>15</v>
      </c>
      <c r="AF54" s="3">
        <f t="shared" si="5"/>
        <v>185</v>
      </c>
      <c r="AG54" s="3">
        <f>IFERROR(INDEX('Data Sheet'!$K$11:$O$15,MATCH(W54,'Data Sheet'!$K$10:$O$10,0),MATCH('Map of Destruction'!AA54,'Data Sheet'!$J$11:$J$15,0)),0)</f>
        <v>25</v>
      </c>
      <c r="AH54" s="68">
        <v>4</v>
      </c>
      <c r="AI54" s="3">
        <f t="shared" si="6"/>
        <v>60</v>
      </c>
      <c r="AJ54" s="3">
        <f t="shared" si="7"/>
        <v>18500</v>
      </c>
    </row>
    <row r="55" spans="1:36" x14ac:dyDescent="0.35">
      <c r="A55" s="30" t="s">
        <v>47</v>
      </c>
      <c r="B55" s="51">
        <v>65</v>
      </c>
      <c r="C55" s="51">
        <v>45</v>
      </c>
      <c r="D55" s="51">
        <v>50</v>
      </c>
      <c r="E55" s="51">
        <v>55</v>
      </c>
      <c r="F55" s="42">
        <v>60</v>
      </c>
      <c r="G55" s="70">
        <v>940</v>
      </c>
      <c r="H55" s="70">
        <v>1500</v>
      </c>
      <c r="I55" s="70">
        <v>2000</v>
      </c>
      <c r="J55" s="70">
        <v>740</v>
      </c>
      <c r="K55" s="73">
        <v>1500</v>
      </c>
      <c r="V55" s="3">
        <f t="shared" si="8"/>
        <v>15</v>
      </c>
      <c r="W55" s="35" t="s">
        <v>18</v>
      </c>
      <c r="X55" s="35">
        <v>95</v>
      </c>
      <c r="Y55" s="35">
        <v>200</v>
      </c>
      <c r="Z55" s="35">
        <v>150</v>
      </c>
      <c r="AA55" s="35" t="s">
        <v>15</v>
      </c>
      <c r="AB55" s="35">
        <v>40</v>
      </c>
      <c r="AC55" s="37">
        <v>155</v>
      </c>
      <c r="AD55" s="35">
        <v>250</v>
      </c>
      <c r="AE55" s="35">
        <v>25</v>
      </c>
      <c r="AF55" s="3">
        <f t="shared" si="5"/>
        <v>100</v>
      </c>
      <c r="AG55" s="3">
        <f>IFERROR(INDEX('Data Sheet'!$K$11:$O$15,MATCH(W55,'Data Sheet'!$K$10:$O$10,0),MATCH('Map of Destruction'!AA55,'Data Sheet'!$J$11:$J$15,0)),0)</f>
        <v>50</v>
      </c>
      <c r="AH55" s="68">
        <v>0</v>
      </c>
      <c r="AI55" s="3">
        <f t="shared" si="6"/>
        <v>0</v>
      </c>
      <c r="AJ55" s="3">
        <f t="shared" si="7"/>
        <v>0</v>
      </c>
    </row>
    <row r="56" spans="1:36" x14ac:dyDescent="0.35">
      <c r="A56" s="30" t="s">
        <v>46</v>
      </c>
      <c r="B56" s="51">
        <v>15</v>
      </c>
      <c r="C56" s="51">
        <v>20</v>
      </c>
      <c r="D56" s="51">
        <v>30</v>
      </c>
      <c r="E56" s="51">
        <v>10</v>
      </c>
      <c r="F56" s="42">
        <v>15</v>
      </c>
      <c r="G56" s="70">
        <v>800</v>
      </c>
      <c r="H56" s="70">
        <v>648</v>
      </c>
      <c r="I56" s="70">
        <v>50</v>
      </c>
      <c r="J56" s="70">
        <v>750</v>
      </c>
      <c r="K56" s="73">
        <v>800</v>
      </c>
      <c r="V56" s="3">
        <f t="shared" si="8"/>
        <v>16</v>
      </c>
      <c r="W56" s="35" t="s">
        <v>19</v>
      </c>
      <c r="X56" s="35">
        <v>150</v>
      </c>
      <c r="Y56" s="35">
        <v>100</v>
      </c>
      <c r="Z56" s="35">
        <v>175</v>
      </c>
      <c r="AA56" s="35" t="s">
        <v>16</v>
      </c>
      <c r="AB56" s="35">
        <v>85</v>
      </c>
      <c r="AC56" s="37">
        <v>60</v>
      </c>
      <c r="AD56" s="35">
        <v>150</v>
      </c>
      <c r="AE56" s="35">
        <v>30</v>
      </c>
      <c r="AF56" s="3">
        <f t="shared" si="5"/>
        <v>105</v>
      </c>
      <c r="AG56" s="3">
        <f>IFERROR(INDEX('Data Sheet'!$K$11:$O$15,MATCH(W56,'Data Sheet'!$K$10:$O$10,0),MATCH('Map of Destruction'!AA56,'Data Sheet'!$J$11:$J$15,0)),0)</f>
        <v>70</v>
      </c>
      <c r="AH56" s="68">
        <v>0</v>
      </c>
      <c r="AI56" s="3">
        <f t="shared" si="6"/>
        <v>0</v>
      </c>
      <c r="AJ56" s="3">
        <f t="shared" si="7"/>
        <v>0</v>
      </c>
    </row>
    <row r="57" spans="1:36" ht="15" thickBot="1" x14ac:dyDescent="0.4">
      <c r="A57" s="31" t="s">
        <v>45</v>
      </c>
      <c r="B57" s="52">
        <v>10</v>
      </c>
      <c r="C57" s="52">
        <v>20</v>
      </c>
      <c r="D57" s="52">
        <v>15</v>
      </c>
      <c r="E57" s="52">
        <v>10</v>
      </c>
      <c r="F57" s="43">
        <v>20</v>
      </c>
      <c r="G57" s="71">
        <v>1000</v>
      </c>
      <c r="H57" s="71">
        <v>582</v>
      </c>
      <c r="I57" s="71">
        <v>1010</v>
      </c>
      <c r="J57" s="71">
        <v>750</v>
      </c>
      <c r="K57" s="74">
        <v>900</v>
      </c>
      <c r="V57" s="3">
        <f t="shared" si="8"/>
        <v>17</v>
      </c>
      <c r="W57" s="35" t="s">
        <v>19</v>
      </c>
      <c r="X57" s="35">
        <v>150</v>
      </c>
      <c r="Y57" s="35">
        <v>100</v>
      </c>
      <c r="Z57" s="35">
        <v>175</v>
      </c>
      <c r="AA57" s="35" t="s">
        <v>12</v>
      </c>
      <c r="AB57" s="35">
        <v>45</v>
      </c>
      <c r="AC57" s="37">
        <v>120</v>
      </c>
      <c r="AD57" s="35">
        <v>100</v>
      </c>
      <c r="AE57" s="35">
        <v>25</v>
      </c>
      <c r="AF57" s="3">
        <f t="shared" si="5"/>
        <v>125</v>
      </c>
      <c r="AG57" s="3">
        <f>IFERROR(INDEX('Data Sheet'!$K$11:$O$15,MATCH(W57,'Data Sheet'!$K$10:$O$10,0),MATCH('Map of Destruction'!AA57,'Data Sheet'!$J$11:$J$15,0)),0)</f>
        <v>60</v>
      </c>
      <c r="AH57" s="68">
        <v>0</v>
      </c>
      <c r="AI57" s="3">
        <f t="shared" si="6"/>
        <v>0</v>
      </c>
      <c r="AJ57" s="3">
        <f t="shared" si="7"/>
        <v>0</v>
      </c>
    </row>
    <row r="58" spans="1:36" ht="15" thickBot="1" x14ac:dyDescent="0.4">
      <c r="A58" s="25"/>
      <c r="B58" s="67"/>
      <c r="C58" s="67"/>
      <c r="D58" s="67"/>
      <c r="E58" s="67"/>
      <c r="F58" s="67"/>
      <c r="G58" s="76">
        <f>IFERROR(SUMIFS($AI$12:$AI$36,$W$12:$W$36,G52),0)</f>
        <v>1000</v>
      </c>
      <c r="H58" s="76">
        <f t="shared" ref="H58:K58" si="10">IFERROR(SUMIFS($AI$12:$AI$36,$W$12:$W$36,H52),0)</f>
        <v>1500</v>
      </c>
      <c r="I58" s="76">
        <f t="shared" si="10"/>
        <v>2000</v>
      </c>
      <c r="J58" s="76">
        <f t="shared" si="10"/>
        <v>750</v>
      </c>
      <c r="K58" s="76">
        <f t="shared" si="10"/>
        <v>1500</v>
      </c>
      <c r="V58" s="3"/>
      <c r="W58" s="35"/>
      <c r="X58" s="35"/>
      <c r="Y58" s="35"/>
      <c r="Z58" s="35"/>
      <c r="AA58" s="35"/>
      <c r="AB58" s="35"/>
      <c r="AC58" s="37"/>
      <c r="AD58" s="35"/>
      <c r="AE58" s="35"/>
      <c r="AF58" s="3"/>
      <c r="AG58" s="3"/>
      <c r="AH58" s="68">
        <v>0</v>
      </c>
      <c r="AI58" s="3"/>
      <c r="AJ58" s="3"/>
    </row>
    <row r="59" spans="1:36" ht="29.5" thickBot="1" x14ac:dyDescent="0.4">
      <c r="I59" s="47"/>
      <c r="J59" s="53" t="s">
        <v>55</v>
      </c>
      <c r="K59" s="76">
        <f>SUMPRODUCT($B$53:$F$57,$G$53:$K$57)</f>
        <v>1382070</v>
      </c>
      <c r="V59" s="3">
        <f>V57+1</f>
        <v>18</v>
      </c>
      <c r="W59" s="35" t="s">
        <v>19</v>
      </c>
      <c r="X59" s="35">
        <v>150</v>
      </c>
      <c r="Y59" s="35">
        <v>100</v>
      </c>
      <c r="Z59" s="35">
        <v>175</v>
      </c>
      <c r="AA59" s="35" t="s">
        <v>23</v>
      </c>
      <c r="AB59" s="35">
        <v>130</v>
      </c>
      <c r="AC59" s="35">
        <v>190</v>
      </c>
      <c r="AD59" s="35">
        <v>300</v>
      </c>
      <c r="AE59" s="35">
        <v>20</v>
      </c>
      <c r="AF59" s="3">
        <f t="shared" si="5"/>
        <v>110</v>
      </c>
      <c r="AG59" s="3">
        <f>IFERROR(INDEX('Data Sheet'!$K$11:$O$15,MATCH(W59,'Data Sheet'!$K$10:$O$10,0),MATCH('Map of Destruction'!AA59,'Data Sheet'!$J$11:$J$15,0)),0)</f>
        <v>45</v>
      </c>
      <c r="AH59" s="68">
        <v>0</v>
      </c>
      <c r="AI59" s="3">
        <f t="shared" si="6"/>
        <v>0</v>
      </c>
      <c r="AJ59" s="3">
        <f t="shared" si="7"/>
        <v>0</v>
      </c>
    </row>
    <row r="60" spans="1:36" x14ac:dyDescent="0.35">
      <c r="V60" s="3">
        <f t="shared" si="8"/>
        <v>19</v>
      </c>
      <c r="W60" s="35" t="s">
        <v>19</v>
      </c>
      <c r="X60" s="35">
        <v>150</v>
      </c>
      <c r="Y60" s="35">
        <v>100</v>
      </c>
      <c r="Z60" s="35">
        <v>175</v>
      </c>
      <c r="AA60" s="35" t="s">
        <v>14</v>
      </c>
      <c r="AB60" s="35">
        <v>25</v>
      </c>
      <c r="AC60" s="35">
        <v>85</v>
      </c>
      <c r="AD60" s="35">
        <v>150</v>
      </c>
      <c r="AE60" s="35">
        <v>15</v>
      </c>
      <c r="AF60" s="3">
        <f t="shared" si="5"/>
        <v>140</v>
      </c>
      <c r="AG60" s="3">
        <f>IFERROR(INDEX('Data Sheet'!$K$11:$O$15,MATCH(W60,'Data Sheet'!$K$10:$O$10,0),MATCH('Map of Destruction'!AA60,'Data Sheet'!$J$11:$J$15,0)),0)</f>
        <v>80</v>
      </c>
      <c r="AH60" s="68">
        <v>0</v>
      </c>
      <c r="AI60" s="3">
        <f t="shared" si="6"/>
        <v>0</v>
      </c>
      <c r="AJ60" s="3">
        <f t="shared" si="7"/>
        <v>0</v>
      </c>
    </row>
    <row r="61" spans="1:36" x14ac:dyDescent="0.35">
      <c r="V61" s="3">
        <f t="shared" si="8"/>
        <v>20</v>
      </c>
      <c r="W61" s="35" t="s">
        <v>19</v>
      </c>
      <c r="X61" s="35">
        <v>150</v>
      </c>
      <c r="Y61" s="35">
        <v>100</v>
      </c>
      <c r="Z61" s="35">
        <v>175</v>
      </c>
      <c r="AA61" s="35" t="s">
        <v>15</v>
      </c>
      <c r="AB61" s="35">
        <v>40</v>
      </c>
      <c r="AC61" s="35">
        <v>155</v>
      </c>
      <c r="AD61" s="35">
        <v>250</v>
      </c>
      <c r="AE61" s="35">
        <v>25</v>
      </c>
      <c r="AF61" s="3">
        <f t="shared" si="5"/>
        <v>165</v>
      </c>
      <c r="AG61" s="3">
        <f>IFERROR(INDEX('Data Sheet'!$K$11:$O$15,MATCH(W61,'Data Sheet'!$K$10:$O$10,0),MATCH('Map of Destruction'!AA61,'Data Sheet'!$J$11:$J$15,0)),0)</f>
        <v>30</v>
      </c>
      <c r="AH61" s="68">
        <v>7</v>
      </c>
      <c r="AI61" s="3">
        <f t="shared" si="6"/>
        <v>175</v>
      </c>
      <c r="AJ61" s="3">
        <f t="shared" si="7"/>
        <v>34650</v>
      </c>
    </row>
    <row r="62" spans="1:36" x14ac:dyDescent="0.35">
      <c r="V62" s="3">
        <f t="shared" si="8"/>
        <v>21</v>
      </c>
      <c r="W62" s="35" t="s">
        <v>24</v>
      </c>
      <c r="X62" s="35">
        <v>180</v>
      </c>
      <c r="Y62" s="35">
        <v>50</v>
      </c>
      <c r="Z62" s="35">
        <v>130</v>
      </c>
      <c r="AA62" s="35" t="s">
        <v>16</v>
      </c>
      <c r="AB62" s="35">
        <v>85</v>
      </c>
      <c r="AC62" s="35">
        <v>60</v>
      </c>
      <c r="AD62" s="35">
        <v>150</v>
      </c>
      <c r="AE62" s="35">
        <v>30</v>
      </c>
      <c r="AF62" s="3">
        <f t="shared" si="5"/>
        <v>105</v>
      </c>
      <c r="AG62" s="3">
        <f>IFERROR(INDEX('Data Sheet'!$K$11:$O$15,MATCH(W62,'Data Sheet'!$K$10:$O$10,0),MATCH('Map of Destruction'!AA62,'Data Sheet'!$J$11:$J$15,0)),0)</f>
        <v>30</v>
      </c>
      <c r="AH62" s="68">
        <v>3</v>
      </c>
      <c r="AI62" s="3">
        <f t="shared" si="6"/>
        <v>90</v>
      </c>
      <c r="AJ62" s="3">
        <f t="shared" si="7"/>
        <v>9450</v>
      </c>
    </row>
    <row r="63" spans="1:36" x14ac:dyDescent="0.35">
      <c r="V63" s="3">
        <f t="shared" si="8"/>
        <v>22</v>
      </c>
      <c r="W63" s="35" t="s">
        <v>24</v>
      </c>
      <c r="X63" s="35">
        <v>180</v>
      </c>
      <c r="Y63" s="35">
        <v>50</v>
      </c>
      <c r="Z63" s="35">
        <v>130</v>
      </c>
      <c r="AA63" s="35" t="s">
        <v>12</v>
      </c>
      <c r="AB63" s="35">
        <v>45</v>
      </c>
      <c r="AC63" s="35">
        <v>120</v>
      </c>
      <c r="AD63" s="35">
        <v>100</v>
      </c>
      <c r="AE63" s="35">
        <v>25</v>
      </c>
      <c r="AF63" s="3">
        <f t="shared" si="5"/>
        <v>205</v>
      </c>
      <c r="AG63" s="3">
        <f>IFERROR(INDEX('Data Sheet'!$K$11:$O$15,MATCH(W63,'Data Sheet'!$K$10:$O$10,0),MATCH('Map of Destruction'!AA63,'Data Sheet'!$J$11:$J$15,0)),0)</f>
        <v>55</v>
      </c>
      <c r="AH63" s="68">
        <v>1</v>
      </c>
      <c r="AI63" s="3">
        <f t="shared" si="6"/>
        <v>25</v>
      </c>
      <c r="AJ63" s="3">
        <f t="shared" si="7"/>
        <v>11275</v>
      </c>
    </row>
    <row r="64" spans="1:36" ht="15" thickBot="1" x14ac:dyDescent="0.4">
      <c r="V64" s="3">
        <f>V63+1</f>
        <v>23</v>
      </c>
      <c r="W64" s="35" t="s">
        <v>24</v>
      </c>
      <c r="X64" s="35">
        <v>180</v>
      </c>
      <c r="Y64" s="35">
        <v>50</v>
      </c>
      <c r="Z64" s="35">
        <v>130</v>
      </c>
      <c r="AA64" s="35" t="s">
        <v>23</v>
      </c>
      <c r="AB64" s="35">
        <v>130</v>
      </c>
      <c r="AC64" s="35">
        <v>190</v>
      </c>
      <c r="AD64" s="35">
        <v>300</v>
      </c>
      <c r="AE64" s="35">
        <v>20</v>
      </c>
      <c r="AF64" s="3">
        <f t="shared" si="5"/>
        <v>190</v>
      </c>
      <c r="AG64" s="3">
        <f>IFERROR(INDEX('Data Sheet'!$K$11:$O$15,MATCH(W64,'Data Sheet'!$K$10:$O$10,0),MATCH('Map of Destruction'!AA64,'Data Sheet'!$J$11:$J$15,0)),0)</f>
        <v>65</v>
      </c>
      <c r="AH64" s="68">
        <v>0</v>
      </c>
      <c r="AI64" s="3">
        <f t="shared" si="6"/>
        <v>0</v>
      </c>
      <c r="AJ64" s="3">
        <f t="shared" si="7"/>
        <v>0</v>
      </c>
    </row>
    <row r="65" spans="4:36" x14ac:dyDescent="0.35">
      <c r="I65" s="27"/>
      <c r="J65" s="88" t="s">
        <v>56</v>
      </c>
      <c r="K65" s="89"/>
      <c r="L65" s="89"/>
      <c r="M65" s="90"/>
      <c r="N65" s="93">
        <f>$K$39+$K$59+$AJ$37+$AJ$67</f>
        <v>2050210</v>
      </c>
      <c r="O65" s="94"/>
      <c r="P65" s="94"/>
      <c r="Q65" s="95"/>
      <c r="V65" s="3">
        <f t="shared" si="8"/>
        <v>24</v>
      </c>
      <c r="W65" s="35" t="s">
        <v>24</v>
      </c>
      <c r="X65" s="35">
        <v>180</v>
      </c>
      <c r="Y65" s="35">
        <v>50</v>
      </c>
      <c r="Z65" s="35">
        <v>130</v>
      </c>
      <c r="AA65" s="35" t="s">
        <v>14</v>
      </c>
      <c r="AB65" s="35">
        <v>25</v>
      </c>
      <c r="AC65" s="35">
        <v>85</v>
      </c>
      <c r="AD65" s="35">
        <v>150</v>
      </c>
      <c r="AE65" s="35">
        <v>15</v>
      </c>
      <c r="AF65" s="3">
        <f t="shared" si="5"/>
        <v>190</v>
      </c>
      <c r="AG65" s="3">
        <f>IFERROR(INDEX('Data Sheet'!$K$11:$O$15,MATCH(W65,'Data Sheet'!$K$10:$O$10,0),MATCH('Map of Destruction'!AA65,'Data Sheet'!$J$11:$J$15,0)),0)</f>
        <v>20</v>
      </c>
      <c r="AH65" s="68">
        <v>1</v>
      </c>
      <c r="AI65" s="3">
        <f t="shared" si="6"/>
        <v>15</v>
      </c>
      <c r="AJ65" s="3">
        <f t="shared" si="7"/>
        <v>3800</v>
      </c>
    </row>
    <row r="66" spans="4:36" ht="15" thickBot="1" x14ac:dyDescent="0.4">
      <c r="I66" s="27"/>
      <c r="J66" s="91"/>
      <c r="K66" s="91"/>
      <c r="L66" s="91"/>
      <c r="M66" s="92"/>
      <c r="N66" s="96"/>
      <c r="O66" s="97"/>
      <c r="P66" s="97"/>
      <c r="Q66" s="98"/>
      <c r="V66" s="3">
        <f t="shared" si="8"/>
        <v>25</v>
      </c>
      <c r="W66" s="35" t="s">
        <v>24</v>
      </c>
      <c r="X66" s="35">
        <v>180</v>
      </c>
      <c r="Y66" s="35">
        <v>50</v>
      </c>
      <c r="Z66" s="35">
        <v>130</v>
      </c>
      <c r="AA66" s="35" t="s">
        <v>15</v>
      </c>
      <c r="AB66" s="35">
        <v>40</v>
      </c>
      <c r="AC66" s="35">
        <v>155</v>
      </c>
      <c r="AD66" s="35">
        <v>250</v>
      </c>
      <c r="AE66" s="35">
        <v>25</v>
      </c>
      <c r="AF66" s="3">
        <f t="shared" si="5"/>
        <v>245</v>
      </c>
      <c r="AG66" s="3">
        <f>IFERROR(INDEX('Data Sheet'!$K$11:$O$15,MATCH(W66,'Data Sheet'!$K$10:$O$10,0),MATCH('Map of Destruction'!AA66,'Data Sheet'!$J$11:$J$15,0)),0)</f>
        <v>80</v>
      </c>
      <c r="AH66" s="68">
        <v>0</v>
      </c>
      <c r="AI66" s="3">
        <f t="shared" si="6"/>
        <v>0</v>
      </c>
      <c r="AJ66" s="3">
        <f t="shared" si="7"/>
        <v>0</v>
      </c>
    </row>
    <row r="67" spans="4:36" x14ac:dyDescent="0.35">
      <c r="AH67" s="3" t="s">
        <v>41</v>
      </c>
      <c r="AI67" s="78">
        <f>SUM($AI$41:$AI$66)</f>
        <v>835</v>
      </c>
      <c r="AJ67" s="78">
        <f>SUM($AJ$41:$AJ$66)</f>
        <v>148225</v>
      </c>
    </row>
    <row r="69" spans="4:36" x14ac:dyDescent="0.35">
      <c r="E69" s="48"/>
      <c r="F69" s="48"/>
      <c r="G69" s="48"/>
    </row>
    <row r="70" spans="4:36" x14ac:dyDescent="0.35">
      <c r="D70" s="25"/>
    </row>
    <row r="71" spans="4:36" x14ac:dyDescent="0.35">
      <c r="D71" s="25"/>
    </row>
    <row r="72" spans="4:36" x14ac:dyDescent="0.35">
      <c r="D72" s="25"/>
    </row>
    <row r="73" spans="4:36" x14ac:dyDescent="0.35">
      <c r="D73" s="25"/>
    </row>
    <row r="74" spans="4:36" x14ac:dyDescent="0.35">
      <c r="D74" s="25"/>
    </row>
    <row r="75" spans="4:36" x14ac:dyDescent="0.35">
      <c r="D75" s="25"/>
    </row>
    <row r="76" spans="4:36" x14ac:dyDescent="0.35">
      <c r="Q76" s="48"/>
    </row>
  </sheetData>
  <sheetProtection algorithmName="SHA-512" hashValue="CwZqJm2hu+sK0VMMvL0A0yAPSDT99bIbvEd5rsEmuIPWaKP3VzGF5CCxqE47WHzI1g9ApV40ESIbHsqO2XZtWw==" saltValue="sgSrXsGdCMLbwCUqdzNiFg==" spinCount="100000" sheet="1" objects="1" scenarios="1"/>
  <mergeCells count="38">
    <mergeCell ref="AI39:AI40"/>
    <mergeCell ref="AA39:AE39"/>
    <mergeCell ref="W39:Z39"/>
    <mergeCell ref="B41:D41"/>
    <mergeCell ref="E41:G41"/>
    <mergeCell ref="AD1:AE1"/>
    <mergeCell ref="AF1:AG1"/>
    <mergeCell ref="AI10:AI11"/>
    <mergeCell ref="AJ10:AJ11"/>
    <mergeCell ref="AG10:AG11"/>
    <mergeCell ref="AF10:AF11"/>
    <mergeCell ref="AH10:AH11"/>
    <mergeCell ref="AB10:AE10"/>
    <mergeCell ref="V10:V11"/>
    <mergeCell ref="W10:AA10"/>
    <mergeCell ref="I24:I25"/>
    <mergeCell ref="I8:I9"/>
    <mergeCell ref="M15:M16"/>
    <mergeCell ref="N17:N18"/>
    <mergeCell ref="J7:J8"/>
    <mergeCell ref="N9:N10"/>
    <mergeCell ref="M21:M22"/>
    <mergeCell ref="J24:J25"/>
    <mergeCell ref="M8:M9"/>
    <mergeCell ref="F5:F6"/>
    <mergeCell ref="H14:H15"/>
    <mergeCell ref="H20:H21"/>
    <mergeCell ref="G6:G7"/>
    <mergeCell ref="G20:G21"/>
    <mergeCell ref="F17:F18"/>
    <mergeCell ref="G12:G13"/>
    <mergeCell ref="J65:M66"/>
    <mergeCell ref="N65:Q66"/>
    <mergeCell ref="K10:L11"/>
    <mergeCell ref="I13:J13"/>
    <mergeCell ref="K12:K13"/>
    <mergeCell ref="K16:K17"/>
    <mergeCell ref="J15:J16"/>
  </mergeCells>
  <dataValidations count="4">
    <dataValidation type="whole" errorStyle="warning" operator="lessThanOrEqual" allowBlank="1" showInputMessage="1" showErrorMessage="1" errorTitle="Capacity Error" error="Exceeded Maximum Capacity of the Warehouse" sqref="AG4" xr:uid="{AB3AF342-DC84-401C-894F-A800B6907FF1}">
      <formula1>100</formula1>
    </dataValidation>
    <dataValidation type="whole" operator="lessThanOrEqual" allowBlank="1" showInputMessage="1" showErrorMessage="1" errorTitle="Capacity Error" error="Exceeded Maximum Capacity of the Warehouse" sqref="AG8 AG5" xr:uid="{8BDDA4D9-7D47-4C40-B5A9-E50CCCFC94C9}">
      <formula1>150</formula1>
    </dataValidation>
    <dataValidation type="whole" operator="lessThanOrEqual" allowBlank="1" showInputMessage="1" showErrorMessage="1" errorTitle="Capacity Error" error="Exceeded Maximum Capacity of the Warehouse_x000a_" sqref="AG6:AG7" xr:uid="{320003CD-FE71-4077-B06E-283CDFFEF4D1}">
      <formula1>300</formula1>
    </dataValidation>
    <dataValidation type="whole" operator="lessThanOrEqual" allowBlank="1" showInputMessage="1" showErrorMessage="1" errorTitle="Maximum Capacity Reached" sqref="N37" xr:uid="{FEF00288-C5B8-4BE3-82AF-4198CF050517}">
      <formula1>835</formula1>
    </dataValidation>
  </dataValidations>
  <pageMargins left="0.7" right="0.7" top="0.75" bottom="0.75" header="0.3" footer="0.3"/>
  <pageSetup paperSize="9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5" name="Button 16">
              <controlPr defaultSize="0" print="0" autoFill="0" autoPict="0" macro="[0]!ExtractWordAndNumbersFromComment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28</xdr:col>
                    <xdr:colOff>6350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6" name="Button 19">
              <controlPr defaultSize="0" print="0" autoFill="0" autoPict="0" macro="[0]!ExtractWordAndThreeNumbersFromComment">
                <anchor moveWithCells="1" sizeWithCells="1">
                  <from>
                    <xdr:col>24</xdr:col>
                    <xdr:colOff>0</xdr:colOff>
                    <xdr:row>4</xdr:row>
                    <xdr:rowOff>0</xdr:rowOff>
                  </from>
                  <to>
                    <xdr:col>28</xdr:col>
                    <xdr:colOff>6350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" name="Button 25">
              <controlPr defaultSize="0" print="0" autoFill="0" autoPict="0" macro="[0]!ExtractWordAndThreeNumbersFromComment">
                <anchor moveWithCells="1" sizeWithCells="1">
                  <from>
                    <xdr:col>16</xdr:col>
                    <xdr:colOff>596900</xdr:colOff>
                    <xdr:row>38</xdr:row>
                    <xdr:rowOff>0</xdr:rowOff>
                  </from>
                  <to>
                    <xdr:col>20</xdr:col>
                    <xdr:colOff>0</xdr:colOff>
                    <xdr:row>40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" name="Button 26">
              <controlPr defaultSize="0" print="0" autoFill="0" autoPict="0" macro="[0]!ExtractWordAndNumbersFromComment">
                <anchor moveWithCells="1" sizeWithCells="1">
                  <from>
                    <xdr:col>17</xdr:col>
                    <xdr:colOff>0</xdr:colOff>
                    <xdr:row>40</xdr:row>
                    <xdr:rowOff>177800</xdr:rowOff>
                  </from>
                  <to>
                    <xdr:col>20</xdr:col>
                    <xdr:colOff>6350</xdr:colOff>
                    <xdr:row>43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C6829-8520-4156-A734-CC1C4C42A60C}">
  <sheetPr codeName="Sheet1"/>
  <dimension ref="A1:V25"/>
  <sheetViews>
    <sheetView workbookViewId="0">
      <selection activeCell="A2" sqref="A2:D9"/>
    </sheetView>
  </sheetViews>
  <sheetFormatPr defaultColWidth="8.81640625" defaultRowHeight="14.5" x14ac:dyDescent="0.35"/>
  <cols>
    <col min="1" max="1" width="11.6328125" style="85" bestFit="1" customWidth="1"/>
    <col min="2" max="2" width="25.90625" style="85" bestFit="1" customWidth="1"/>
    <col min="3" max="3" width="16.90625" style="85" bestFit="1" customWidth="1"/>
    <col min="4" max="4" width="14.90625" style="85" customWidth="1"/>
    <col min="5" max="6" width="8.81640625" style="85"/>
    <col min="7" max="7" width="9.36328125" style="85" customWidth="1"/>
    <col min="8" max="8" width="11.6328125" style="85" bestFit="1" customWidth="1"/>
    <col min="9" max="9" width="10.6328125" style="85" bestFit="1" customWidth="1"/>
    <col min="10" max="10" width="11.6328125" style="85" bestFit="1" customWidth="1"/>
    <col min="11" max="11" width="11.08984375" style="85" bestFit="1" customWidth="1"/>
    <col min="12" max="16" width="8.81640625" style="85"/>
    <col min="17" max="17" width="17.54296875" style="85" bestFit="1" customWidth="1"/>
    <col min="18" max="18" width="11.08984375" style="85" bestFit="1" customWidth="1"/>
    <col min="19" max="19" width="9.36328125" style="85" bestFit="1" customWidth="1"/>
    <col min="20" max="20" width="11.90625" style="85" bestFit="1" customWidth="1"/>
    <col min="21" max="16384" width="8.81640625" style="85"/>
  </cols>
  <sheetData>
    <row r="1" spans="1:22" x14ac:dyDescent="0.35">
      <c r="A1" s="83" t="s">
        <v>26</v>
      </c>
      <c r="B1" s="83" t="s">
        <v>25</v>
      </c>
      <c r="C1" s="83" t="s">
        <v>0</v>
      </c>
      <c r="D1" s="83" t="s">
        <v>1</v>
      </c>
      <c r="E1" s="84" t="s">
        <v>29</v>
      </c>
      <c r="F1" s="84" t="s">
        <v>30</v>
      </c>
      <c r="G1" s="84"/>
      <c r="J1" s="118" t="s">
        <v>27</v>
      </c>
      <c r="K1" s="119"/>
      <c r="L1" s="119"/>
      <c r="M1" s="119"/>
      <c r="N1" s="119"/>
      <c r="O1" s="119"/>
      <c r="R1" s="84"/>
      <c r="S1" s="84"/>
      <c r="T1" s="84"/>
      <c r="U1" s="84"/>
      <c r="V1" s="84"/>
    </row>
    <row r="2" spans="1:22" x14ac:dyDescent="0.35">
      <c r="A2" s="85" t="s">
        <v>11</v>
      </c>
      <c r="B2" s="85" t="s">
        <v>4</v>
      </c>
      <c r="C2" s="85">
        <v>175</v>
      </c>
      <c r="D2" s="85">
        <v>75</v>
      </c>
      <c r="E2" s="85">
        <v>200</v>
      </c>
      <c r="K2" s="118" t="s">
        <v>4</v>
      </c>
      <c r="L2" s="118"/>
      <c r="M2" s="118"/>
      <c r="N2" s="118"/>
      <c r="O2" s="118"/>
      <c r="R2" s="84" t="s">
        <v>4</v>
      </c>
      <c r="S2" s="84" t="s">
        <v>50</v>
      </c>
      <c r="T2" s="84" t="s">
        <v>51</v>
      </c>
    </row>
    <row r="3" spans="1:22" x14ac:dyDescent="0.35">
      <c r="A3" s="85" t="s">
        <v>18</v>
      </c>
      <c r="B3" s="85" t="s">
        <v>4</v>
      </c>
      <c r="C3" s="85">
        <v>95</v>
      </c>
      <c r="D3" s="85">
        <v>200</v>
      </c>
      <c r="E3" s="85">
        <v>150</v>
      </c>
      <c r="I3" s="84"/>
      <c r="J3" s="86" t="s">
        <v>2</v>
      </c>
      <c r="K3" s="84" t="s">
        <v>11</v>
      </c>
      <c r="L3" s="84" t="s">
        <v>18</v>
      </c>
      <c r="M3" s="84" t="s">
        <v>19</v>
      </c>
      <c r="N3" s="84" t="s">
        <v>20</v>
      </c>
      <c r="O3" s="84" t="s">
        <v>24</v>
      </c>
      <c r="R3" s="84" t="s">
        <v>11</v>
      </c>
      <c r="S3" s="85">
        <v>750</v>
      </c>
      <c r="T3" s="85">
        <v>20</v>
      </c>
    </row>
    <row r="4" spans="1:22" x14ac:dyDescent="0.35">
      <c r="A4" s="85" t="s">
        <v>19</v>
      </c>
      <c r="B4" s="85" t="s">
        <v>4</v>
      </c>
      <c r="C4" s="85">
        <v>150</v>
      </c>
      <c r="D4" s="85">
        <v>100</v>
      </c>
      <c r="E4" s="85">
        <v>175</v>
      </c>
      <c r="J4" s="85" t="s">
        <v>6</v>
      </c>
      <c r="K4" s="85">
        <v>50</v>
      </c>
      <c r="L4" s="85">
        <v>75</v>
      </c>
      <c r="M4" s="85">
        <v>60</v>
      </c>
      <c r="N4" s="85">
        <v>90</v>
      </c>
      <c r="O4" s="85">
        <v>45</v>
      </c>
      <c r="R4" s="84" t="s">
        <v>18</v>
      </c>
      <c r="S4" s="85">
        <v>800</v>
      </c>
      <c r="T4" s="85">
        <v>15</v>
      </c>
    </row>
    <row r="5" spans="1:22" x14ac:dyDescent="0.35">
      <c r="A5" s="85" t="s">
        <v>20</v>
      </c>
      <c r="B5" s="85" t="s">
        <v>4</v>
      </c>
      <c r="C5" s="85">
        <v>65</v>
      </c>
      <c r="D5" s="85">
        <v>175</v>
      </c>
      <c r="E5" s="85">
        <v>180</v>
      </c>
      <c r="J5" s="85" t="s">
        <v>13</v>
      </c>
      <c r="K5" s="85">
        <v>65</v>
      </c>
      <c r="L5" s="85">
        <v>70</v>
      </c>
      <c r="M5" s="85">
        <v>55</v>
      </c>
      <c r="N5" s="85">
        <v>20</v>
      </c>
      <c r="O5" s="85">
        <v>80</v>
      </c>
      <c r="R5" s="84" t="s">
        <v>19</v>
      </c>
      <c r="S5" s="85">
        <v>1000</v>
      </c>
      <c r="T5" s="85">
        <v>12</v>
      </c>
    </row>
    <row r="6" spans="1:22" x14ac:dyDescent="0.35">
      <c r="A6" s="85" t="s">
        <v>24</v>
      </c>
      <c r="B6" s="85" t="s">
        <v>4</v>
      </c>
      <c r="C6" s="85">
        <v>180</v>
      </c>
      <c r="D6" s="85">
        <v>50</v>
      </c>
      <c r="E6" s="85">
        <v>130</v>
      </c>
      <c r="J6" s="85" t="s">
        <v>21</v>
      </c>
      <c r="K6" s="85">
        <v>60</v>
      </c>
      <c r="L6" s="85">
        <v>35</v>
      </c>
      <c r="M6" s="85">
        <v>40</v>
      </c>
      <c r="N6" s="85">
        <v>75</v>
      </c>
      <c r="O6" s="85">
        <v>45</v>
      </c>
      <c r="R6" s="84" t="s">
        <v>20</v>
      </c>
      <c r="S6" s="85">
        <v>650</v>
      </c>
      <c r="T6" s="85">
        <v>22</v>
      </c>
    </row>
    <row r="7" spans="1:22" x14ac:dyDescent="0.35">
      <c r="A7" s="85" t="s">
        <v>6</v>
      </c>
      <c r="B7" s="85" t="s">
        <v>2</v>
      </c>
      <c r="C7" s="85">
        <v>50</v>
      </c>
      <c r="D7" s="85">
        <v>140</v>
      </c>
      <c r="E7" s="85">
        <v>1000</v>
      </c>
      <c r="F7" s="85">
        <v>50</v>
      </c>
      <c r="J7" s="85" t="s">
        <v>22</v>
      </c>
      <c r="K7" s="85">
        <v>80</v>
      </c>
      <c r="L7" s="85">
        <v>30</v>
      </c>
      <c r="M7" s="85">
        <v>45</v>
      </c>
      <c r="N7" s="85">
        <v>60</v>
      </c>
      <c r="O7" s="85">
        <v>70</v>
      </c>
      <c r="R7" s="84" t="s">
        <v>24</v>
      </c>
      <c r="S7" s="85">
        <v>700</v>
      </c>
      <c r="T7" s="85">
        <v>21</v>
      </c>
    </row>
    <row r="8" spans="1:22" x14ac:dyDescent="0.35">
      <c r="A8" s="85" t="s">
        <v>13</v>
      </c>
      <c r="B8" s="85" t="s">
        <v>2</v>
      </c>
      <c r="C8" s="85">
        <v>120</v>
      </c>
      <c r="D8" s="85">
        <v>45</v>
      </c>
      <c r="E8" s="85">
        <v>1500</v>
      </c>
      <c r="F8" s="85">
        <v>30</v>
      </c>
      <c r="J8" s="85" t="s">
        <v>17</v>
      </c>
      <c r="K8" s="85">
        <v>25</v>
      </c>
      <c r="L8" s="85">
        <v>45</v>
      </c>
      <c r="M8" s="85">
        <v>50</v>
      </c>
      <c r="N8" s="85">
        <v>30</v>
      </c>
      <c r="O8" s="85">
        <v>80</v>
      </c>
    </row>
    <row r="9" spans="1:22" x14ac:dyDescent="0.35">
      <c r="A9" s="85" t="s">
        <v>21</v>
      </c>
      <c r="B9" s="85" t="s">
        <v>2</v>
      </c>
      <c r="C9" s="85">
        <v>70</v>
      </c>
      <c r="D9" s="85">
        <v>180</v>
      </c>
      <c r="E9" s="85">
        <v>2000</v>
      </c>
      <c r="F9" s="85">
        <v>100</v>
      </c>
      <c r="K9" s="118" t="s">
        <v>4</v>
      </c>
      <c r="L9" s="118"/>
      <c r="M9" s="118"/>
      <c r="N9" s="118"/>
      <c r="O9" s="118"/>
      <c r="P9" s="84"/>
    </row>
    <row r="10" spans="1:22" x14ac:dyDescent="0.35">
      <c r="A10" s="85" t="s">
        <v>22</v>
      </c>
      <c r="B10" s="85" t="s">
        <v>2</v>
      </c>
      <c r="C10" s="85">
        <v>90</v>
      </c>
      <c r="D10" s="85">
        <v>135</v>
      </c>
      <c r="E10" s="85">
        <v>750</v>
      </c>
      <c r="F10" s="85">
        <v>50</v>
      </c>
      <c r="J10" s="84" t="s">
        <v>3</v>
      </c>
      <c r="K10" s="84" t="s">
        <v>11</v>
      </c>
      <c r="L10" s="84" t="s">
        <v>18</v>
      </c>
      <c r="M10" s="84" t="s">
        <v>19</v>
      </c>
      <c r="N10" s="84" t="s">
        <v>20</v>
      </c>
      <c r="O10" s="84" t="s">
        <v>24</v>
      </c>
    </row>
    <row r="11" spans="1:22" x14ac:dyDescent="0.35">
      <c r="A11" s="85" t="s">
        <v>17</v>
      </c>
      <c r="B11" s="85" t="s">
        <v>2</v>
      </c>
      <c r="C11" s="85">
        <v>110</v>
      </c>
      <c r="D11" s="85">
        <v>60</v>
      </c>
      <c r="E11" s="85">
        <v>1500</v>
      </c>
      <c r="F11" s="85">
        <v>75</v>
      </c>
      <c r="J11" s="85" t="s">
        <v>12</v>
      </c>
      <c r="K11" s="85">
        <v>30</v>
      </c>
      <c r="L11" s="85">
        <v>65</v>
      </c>
      <c r="M11" s="85">
        <v>20</v>
      </c>
      <c r="N11" s="85">
        <v>80</v>
      </c>
      <c r="O11" s="85">
        <v>55</v>
      </c>
    </row>
    <row r="12" spans="1:22" x14ac:dyDescent="0.35">
      <c r="A12" s="85" t="s">
        <v>12</v>
      </c>
      <c r="B12" s="85" t="s">
        <v>3</v>
      </c>
      <c r="C12" s="85">
        <v>45</v>
      </c>
      <c r="D12" s="85">
        <v>120</v>
      </c>
      <c r="E12" s="85">
        <v>100</v>
      </c>
      <c r="F12" s="85">
        <v>25</v>
      </c>
      <c r="J12" s="85" t="s">
        <v>16</v>
      </c>
      <c r="K12" s="85">
        <v>75</v>
      </c>
      <c r="L12" s="85">
        <v>35</v>
      </c>
      <c r="M12" s="85">
        <v>60</v>
      </c>
      <c r="N12" s="85">
        <v>50</v>
      </c>
      <c r="O12" s="85">
        <v>25</v>
      </c>
    </row>
    <row r="13" spans="1:22" x14ac:dyDescent="0.35">
      <c r="A13" s="85" t="s">
        <v>16</v>
      </c>
      <c r="B13" s="85" t="s">
        <v>3</v>
      </c>
      <c r="C13" s="85">
        <v>85</v>
      </c>
      <c r="D13" s="85">
        <v>60</v>
      </c>
      <c r="E13" s="85">
        <v>150</v>
      </c>
      <c r="F13" s="85">
        <v>30</v>
      </c>
      <c r="J13" s="85" t="s">
        <v>23</v>
      </c>
      <c r="K13" s="85">
        <v>60</v>
      </c>
      <c r="L13" s="85">
        <v>70</v>
      </c>
      <c r="M13" s="85">
        <v>45</v>
      </c>
      <c r="N13" s="85">
        <v>30</v>
      </c>
      <c r="O13" s="85">
        <v>80</v>
      </c>
    </row>
    <row r="14" spans="1:22" x14ac:dyDescent="0.35">
      <c r="A14" s="85" t="s">
        <v>23</v>
      </c>
      <c r="B14" s="85" t="s">
        <v>3</v>
      </c>
      <c r="C14" s="85">
        <v>130</v>
      </c>
      <c r="D14" s="85">
        <v>190</v>
      </c>
      <c r="E14" s="85">
        <v>300</v>
      </c>
      <c r="F14" s="85">
        <v>20</v>
      </c>
      <c r="J14" s="85" t="s">
        <v>15</v>
      </c>
      <c r="K14" s="85">
        <v>40</v>
      </c>
      <c r="L14" s="85">
        <v>55</v>
      </c>
      <c r="M14" s="85">
        <v>70</v>
      </c>
      <c r="N14" s="85">
        <v>65</v>
      </c>
      <c r="O14" s="85">
        <v>50</v>
      </c>
    </row>
    <row r="15" spans="1:22" x14ac:dyDescent="0.35">
      <c r="A15" s="85" t="s">
        <v>15</v>
      </c>
      <c r="B15" s="85" t="s">
        <v>3</v>
      </c>
      <c r="C15" s="85">
        <v>40</v>
      </c>
      <c r="D15" s="85">
        <v>155</v>
      </c>
      <c r="E15" s="85">
        <v>250</v>
      </c>
      <c r="F15" s="85">
        <v>25</v>
      </c>
      <c r="J15" s="85" t="s">
        <v>14</v>
      </c>
      <c r="K15" s="85">
        <v>55</v>
      </c>
      <c r="L15" s="85">
        <v>30</v>
      </c>
      <c r="M15" s="85">
        <v>65</v>
      </c>
      <c r="N15" s="85">
        <v>80</v>
      </c>
      <c r="O15" s="85">
        <v>20</v>
      </c>
    </row>
    <row r="16" spans="1:22" x14ac:dyDescent="0.35">
      <c r="A16" s="85" t="s">
        <v>14</v>
      </c>
      <c r="B16" s="85" t="s">
        <v>3</v>
      </c>
      <c r="C16" s="85">
        <v>25</v>
      </c>
      <c r="D16" s="85">
        <v>85</v>
      </c>
      <c r="E16" s="85">
        <v>150</v>
      </c>
      <c r="F16" s="85">
        <v>15</v>
      </c>
    </row>
    <row r="18" spans="1:9" ht="14.4" customHeight="1" x14ac:dyDescent="0.35"/>
    <row r="19" spans="1:9" ht="14.4" customHeight="1" x14ac:dyDescent="0.35">
      <c r="B19" s="87" t="s">
        <v>37</v>
      </c>
      <c r="E19" s="86" t="s">
        <v>38</v>
      </c>
      <c r="F19" s="86"/>
      <c r="G19" s="86"/>
      <c r="H19" s="86"/>
      <c r="I19" s="86"/>
    </row>
    <row r="20" spans="1:9" x14ac:dyDescent="0.35">
      <c r="A20" s="84" t="s">
        <v>36</v>
      </c>
      <c r="B20" s="84">
        <v>0.99</v>
      </c>
      <c r="C20" s="84">
        <v>0.95</v>
      </c>
      <c r="D20" s="84">
        <v>0.9</v>
      </c>
      <c r="E20" s="84" t="s">
        <v>6</v>
      </c>
      <c r="F20" s="84" t="s">
        <v>13</v>
      </c>
      <c r="G20" s="84" t="s">
        <v>21</v>
      </c>
      <c r="H20" s="84" t="s">
        <v>22</v>
      </c>
      <c r="I20" s="84" t="s">
        <v>17</v>
      </c>
    </row>
    <row r="21" spans="1:9" x14ac:dyDescent="0.35">
      <c r="A21" s="86" t="s">
        <v>31</v>
      </c>
      <c r="B21" s="85">
        <v>10</v>
      </c>
      <c r="C21" s="85">
        <v>8</v>
      </c>
      <c r="D21" s="85">
        <v>7</v>
      </c>
      <c r="E21" s="85">
        <v>50</v>
      </c>
      <c r="F21" s="85">
        <v>45</v>
      </c>
      <c r="G21" s="85">
        <v>35</v>
      </c>
      <c r="H21" s="85">
        <v>40</v>
      </c>
      <c r="I21" s="85">
        <v>50</v>
      </c>
    </row>
    <row r="22" spans="1:9" x14ac:dyDescent="0.35">
      <c r="A22" s="86" t="s">
        <v>32</v>
      </c>
      <c r="B22" s="85">
        <v>6</v>
      </c>
      <c r="C22" s="85">
        <v>6</v>
      </c>
      <c r="D22" s="85">
        <v>5</v>
      </c>
      <c r="E22" s="85">
        <v>150</v>
      </c>
      <c r="F22" s="85">
        <v>120</v>
      </c>
      <c r="G22" s="85">
        <v>135</v>
      </c>
      <c r="H22" s="85">
        <v>140</v>
      </c>
      <c r="I22" s="85">
        <v>130</v>
      </c>
    </row>
    <row r="23" spans="1:9" x14ac:dyDescent="0.35">
      <c r="A23" s="86" t="s">
        <v>33</v>
      </c>
      <c r="B23" s="85">
        <v>8</v>
      </c>
      <c r="C23" s="85">
        <v>8</v>
      </c>
      <c r="D23" s="85">
        <v>8</v>
      </c>
      <c r="E23" s="85">
        <v>65</v>
      </c>
      <c r="F23" s="85">
        <v>45</v>
      </c>
      <c r="G23" s="85">
        <v>50</v>
      </c>
      <c r="H23" s="85">
        <v>55</v>
      </c>
      <c r="I23" s="85">
        <v>60</v>
      </c>
    </row>
    <row r="24" spans="1:9" x14ac:dyDescent="0.35">
      <c r="A24" s="86" t="s">
        <v>34</v>
      </c>
      <c r="B24" s="85">
        <v>5</v>
      </c>
      <c r="C24" s="85">
        <v>4</v>
      </c>
      <c r="D24" s="85">
        <v>2</v>
      </c>
      <c r="E24" s="85">
        <v>15</v>
      </c>
      <c r="F24" s="85">
        <v>20</v>
      </c>
      <c r="G24" s="85">
        <v>30</v>
      </c>
      <c r="H24" s="85">
        <v>10</v>
      </c>
      <c r="I24" s="85">
        <v>15</v>
      </c>
    </row>
    <row r="25" spans="1:9" x14ac:dyDescent="0.35">
      <c r="A25" s="86" t="s">
        <v>35</v>
      </c>
      <c r="B25" s="85">
        <v>7</v>
      </c>
      <c r="C25" s="85">
        <v>5</v>
      </c>
      <c r="D25" s="85">
        <v>4</v>
      </c>
      <c r="E25" s="85">
        <v>10</v>
      </c>
      <c r="F25" s="85">
        <v>20</v>
      </c>
      <c r="G25" s="85">
        <v>15</v>
      </c>
      <c r="H25" s="85">
        <v>10</v>
      </c>
      <c r="I25" s="85">
        <v>20</v>
      </c>
    </row>
  </sheetData>
  <sheetProtection algorithmName="SHA-512" hashValue="m9NQFPcOY1fJCLi6RtAo8SIocNDLR5SdBMlSJKgmI6drpjJszNRQZKnN9Qvjk8afd5B4Am1qWK59humsnZY4Vg==" saltValue="4ji1ri4stMbuNsih5JaPRg==" spinCount="100000" sheet="1" objects="1" scenarios="1"/>
  <sortState xmlns:xlrd2="http://schemas.microsoft.com/office/spreadsheetml/2017/richdata2" ref="A2:D16">
    <sortCondition ref="B1"/>
  </sortState>
  <mergeCells count="3">
    <mergeCell ref="K2:O2"/>
    <mergeCell ref="J1:O1"/>
    <mergeCell ref="K9:O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2DEC1-C344-477B-BD29-104B6A663A03}">
  <dimension ref="A1:Q8"/>
  <sheetViews>
    <sheetView tabSelected="1" topLeftCell="C1" workbookViewId="0">
      <selection activeCell="N4" sqref="N4"/>
    </sheetView>
  </sheetViews>
  <sheetFormatPr defaultRowHeight="14.5" x14ac:dyDescent="0.35"/>
  <sheetData>
    <row r="1" spans="1:17" ht="15" thickBot="1" x14ac:dyDescent="0.4">
      <c r="A1" s="1"/>
      <c r="B1" s="1"/>
      <c r="C1" s="1"/>
      <c r="D1" s="1"/>
      <c r="E1" s="1"/>
    </row>
    <row r="2" spans="1:17" ht="29.5" thickBot="1" x14ac:dyDescent="0.4">
      <c r="A2" s="1"/>
      <c r="B2" s="60" t="s">
        <v>58</v>
      </c>
      <c r="C2" s="60" t="s">
        <v>59</v>
      </c>
      <c r="D2" s="1"/>
      <c r="E2" s="1"/>
    </row>
    <row r="3" spans="1:17" ht="15" thickBot="1" x14ac:dyDescent="0.4">
      <c r="A3" s="1"/>
      <c r="B3" s="57">
        <v>0.99</v>
      </c>
      <c r="C3" s="69">
        <v>142</v>
      </c>
      <c r="D3" s="1">
        <v>0</v>
      </c>
      <c r="E3" s="1">
        <v>0</v>
      </c>
      <c r="F3">
        <f>C3-D3</f>
        <v>142</v>
      </c>
      <c r="G3">
        <f>0.4*F3</f>
        <v>56.800000000000004</v>
      </c>
      <c r="H3">
        <f>G8</f>
        <v>0</v>
      </c>
      <c r="J3" s="120">
        <v>65</v>
      </c>
      <c r="K3" s="120">
        <v>6373</v>
      </c>
      <c r="L3" s="120">
        <v>45</v>
      </c>
      <c r="M3" s="120">
        <v>6200</v>
      </c>
      <c r="N3" s="120">
        <v>25</v>
      </c>
      <c r="O3" s="120">
        <v>6200</v>
      </c>
      <c r="P3">
        <f>N3+L3+D3+J3</f>
        <v>135</v>
      </c>
      <c r="Q3">
        <f>C3-P3</f>
        <v>7</v>
      </c>
    </row>
    <row r="4" spans="1:17" ht="15" thickBot="1" x14ac:dyDescent="0.4">
      <c r="A4" s="1"/>
      <c r="B4" s="58">
        <v>0.95</v>
      </c>
      <c r="C4" s="70">
        <v>476</v>
      </c>
      <c r="D4" s="1">
        <v>26</v>
      </c>
      <c r="E4" s="1">
        <v>5850</v>
      </c>
      <c r="F4">
        <f t="shared" ref="F4:F5" si="0">C4-D4</f>
        <v>450</v>
      </c>
      <c r="G4">
        <f t="shared" ref="G4:G5" si="1">0.4*F4</f>
        <v>180</v>
      </c>
      <c r="J4" s="120">
        <v>150</v>
      </c>
      <c r="K4" s="120">
        <v>5300</v>
      </c>
      <c r="L4" s="120">
        <v>100</v>
      </c>
      <c r="M4" s="120">
        <v>4997</v>
      </c>
      <c r="P4">
        <f t="shared" ref="P4:P5" si="2">N4+L4+D4+J4</f>
        <v>276</v>
      </c>
      <c r="Q4">
        <f t="shared" ref="Q4:Q5" si="3">C4-P4</f>
        <v>200</v>
      </c>
    </row>
    <row r="5" spans="1:17" ht="15" thickBot="1" x14ac:dyDescent="0.4">
      <c r="A5" s="1"/>
      <c r="B5" s="59">
        <v>0.9</v>
      </c>
      <c r="C5" s="71">
        <v>217</v>
      </c>
      <c r="D5" s="1">
        <v>1</v>
      </c>
      <c r="E5" s="1">
        <v>4750</v>
      </c>
      <c r="F5">
        <f t="shared" si="0"/>
        <v>216</v>
      </c>
      <c r="G5">
        <f t="shared" si="1"/>
        <v>86.4</v>
      </c>
      <c r="J5" s="120">
        <v>134</v>
      </c>
      <c r="K5" s="120">
        <v>1000</v>
      </c>
      <c r="L5" s="120">
        <v>45</v>
      </c>
      <c r="M5" s="120">
        <v>4697</v>
      </c>
      <c r="P5">
        <f t="shared" si="2"/>
        <v>180</v>
      </c>
      <c r="Q5">
        <f t="shared" si="3"/>
        <v>37</v>
      </c>
    </row>
    <row r="6" spans="1:17" ht="15" thickBot="1" x14ac:dyDescent="0.4">
      <c r="A6" s="1"/>
      <c r="B6" s="55" t="s">
        <v>41</v>
      </c>
      <c r="C6" s="76">
        <f>SUM($O$34:$O$36)</f>
        <v>0</v>
      </c>
      <c r="D6" s="1"/>
      <c r="E6" s="1"/>
    </row>
    <row r="7" spans="1:17" x14ac:dyDescent="0.35">
      <c r="A7" s="1"/>
      <c r="B7" s="1"/>
      <c r="C7" s="1"/>
      <c r="D7" s="1"/>
      <c r="E7" s="1"/>
    </row>
    <row r="8" spans="1:17" x14ac:dyDescent="0.35">
      <c r="A8" s="1"/>
      <c r="B8" s="1"/>
      <c r="C8" s="1"/>
      <c r="D8" s="1"/>
      <c r="E8" s="1"/>
    </row>
  </sheetData>
  <dataValidations disablePrompts="1" count="1">
    <dataValidation type="whole" operator="lessThanOrEqual" allowBlank="1" showInputMessage="1" showErrorMessage="1" errorTitle="Maximum Capacity Reached" sqref="C6" xr:uid="{1DCBB82E-CE6C-4E0A-9BAC-19E7ADE72664}">
      <formula1>835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03C0B478-E491-4206-B8DF-23C148C29F0E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6A5D8AB6-29AC-4D6C-AFF5-7897F3BB5179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Map of Destruction</vt:lpstr>
      <vt:lpstr>Data Sheet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Anwar Ashrafi</dc:creator>
  <cp:lastModifiedBy>Ashwini Kumar</cp:lastModifiedBy>
  <dcterms:created xsi:type="dcterms:W3CDTF">2024-11-26T20:41:07Z</dcterms:created>
  <dcterms:modified xsi:type="dcterms:W3CDTF">2024-12-16T06:59:45Z</dcterms:modified>
</cp:coreProperties>
</file>